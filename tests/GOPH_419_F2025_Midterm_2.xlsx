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d.docs.live.net/c4cb510dff9c7136/University/GOPH 419/"/>
    </mc:Choice>
  </mc:AlternateContent>
  <xr:revisionPtr revIDLastSave="0" documentId="8_{1731D5C8-6159-B944-B121-71E58CC33E3D}" xr6:coauthVersionLast="47" xr6:coauthVersionMax="47" xr10:uidLastSave="{00000000-0000-0000-0000-000000000000}"/>
  <bookViews>
    <workbookView xWindow="62700" yWindow="1140" windowWidth="34520" windowHeight="26180" tabRatio="500" activeTab="2" xr2:uid="{00000000-000D-0000-FFFF-FFFF00000000}"/>
  </bookViews>
  <sheets>
    <sheet name="Sheet1" sheetId="1" r:id="rId1"/>
    <sheet name="Question 1" sheetId="2" r:id="rId2"/>
    <sheet name="Question 2" sheetId="3" r:id="rId3"/>
    <sheet name="Question 3 a" sheetId="4" r:id="rId4"/>
  </sheets>
  <definedNames>
    <definedName name="_xlchart.v1.0" hidden="1">'Question 3 a'!$B$2:$B$67</definedName>
    <definedName name="_xlchart.v1.1" hidden="1">'Question 3 a'!$C$2:$C$67</definedName>
    <definedName name="_xlchart.v1.10" hidden="1">'Question 3 a'!$D$2:$D$67</definedName>
    <definedName name="_xlchart.v1.11" hidden="1">'Question 3 a'!$E$2:$E$67</definedName>
    <definedName name="_xlchart.v1.12" hidden="1">'Question 3 a'!$B$2:$B$67</definedName>
    <definedName name="_xlchart.v1.13" hidden="1">'Question 3 a'!$C$2:$C$67</definedName>
    <definedName name="_xlchart.v1.14" hidden="1">'Question 3 a'!$D$2:$D$67</definedName>
    <definedName name="_xlchart.v1.15" hidden="1">'Question 3 a'!$E$2:$E$67</definedName>
    <definedName name="_xlchart.v1.16" hidden="1">'Question 3 a'!$B$2:$B$67</definedName>
    <definedName name="_xlchart.v1.17" hidden="1">'Question 3 a'!$C$2:$C$67</definedName>
    <definedName name="_xlchart.v1.18" hidden="1">'Question 3 a'!$D$2:$D$67</definedName>
    <definedName name="_xlchart.v1.19" hidden="1">'Question 3 a'!$E$2:$E$67</definedName>
    <definedName name="_xlchart.v1.2" hidden="1">'Question 3 a'!$D$2:$D$67</definedName>
    <definedName name="_xlchart.v1.20" hidden="1">'Question 3 a'!$B$2:$B$67</definedName>
    <definedName name="_xlchart.v1.21" hidden="1">'Question 3 a'!$C$2:$C$67</definedName>
    <definedName name="_xlchart.v1.22" hidden="1">'Question 3 a'!$D$2:$D$67</definedName>
    <definedName name="_xlchart.v1.23" hidden="1">'Question 3 a'!$E$2:$E$67</definedName>
    <definedName name="_xlchart.v1.24" hidden="1">'Question 3 a'!$B$2:$B$67</definedName>
    <definedName name="_xlchart.v1.25" hidden="1">'Question 3 a'!$C$2:$C$67</definedName>
    <definedName name="_xlchart.v1.26" hidden="1">'Question 3 a'!$D$2:$D$67</definedName>
    <definedName name="_xlchart.v1.27" hidden="1">'Question 3 a'!$E$2:$E$67</definedName>
    <definedName name="_xlchart.v1.3" hidden="1">'Question 3 a'!$E$2:$E$67</definedName>
    <definedName name="_xlchart.v1.4" hidden="1">'Question 3 a'!$B$2:$B$67</definedName>
    <definedName name="_xlchart.v1.5" hidden="1">'Question 3 a'!$C$2:$C$67</definedName>
    <definedName name="_xlchart.v1.6" hidden="1">'Question 3 a'!$D$2:$D$67</definedName>
    <definedName name="_xlchart.v1.7" hidden="1">'Question 3 a'!$E$2:$E$67</definedName>
    <definedName name="_xlchart.v1.8" hidden="1">'Question 3 a'!$B$2:$B$67</definedName>
    <definedName name="_xlchart.v1.9" hidden="1">'Question 3 a'!$C$2:$C$67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78" i="4" l="1"/>
  <c r="K79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4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3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3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N7" i="3"/>
  <c r="O7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N6" i="3" a="1"/>
  <c r="N6" i="3" s="1"/>
  <c r="H4" i="3"/>
  <c r="H13" i="3"/>
  <c r="H54" i="3"/>
  <c r="I53" i="3" s="1"/>
  <c r="G3" i="3"/>
  <c r="G4" i="3"/>
  <c r="H3" i="3" s="1"/>
  <c r="G5" i="3"/>
  <c r="G6" i="3"/>
  <c r="H5" i="3" s="1"/>
  <c r="I4" i="3" s="1"/>
  <c r="G7" i="3"/>
  <c r="G8" i="3"/>
  <c r="H7" i="3" s="1"/>
  <c r="G9" i="3"/>
  <c r="G10" i="3"/>
  <c r="G11" i="3"/>
  <c r="G12" i="3"/>
  <c r="G13" i="3"/>
  <c r="G14" i="3"/>
  <c r="G15" i="3"/>
  <c r="H14" i="3" s="1"/>
  <c r="I13" i="3" s="1"/>
  <c r="G16" i="3"/>
  <c r="H15" i="3" s="1"/>
  <c r="G17" i="3"/>
  <c r="H16" i="3" s="1"/>
  <c r="G18" i="3"/>
  <c r="H17" i="3" s="1"/>
  <c r="G19" i="3"/>
  <c r="G20" i="3"/>
  <c r="G21" i="3"/>
  <c r="G22" i="3"/>
  <c r="G23" i="3"/>
  <c r="G24" i="3"/>
  <c r="H23" i="3" s="1"/>
  <c r="G25" i="3"/>
  <c r="G26" i="3"/>
  <c r="H25" i="3" s="1"/>
  <c r="G27" i="3"/>
  <c r="G28" i="3"/>
  <c r="H27" i="3" s="1"/>
  <c r="G29" i="3"/>
  <c r="G30" i="3"/>
  <c r="G31" i="3"/>
  <c r="G32" i="3"/>
  <c r="G33" i="3"/>
  <c r="G34" i="3"/>
  <c r="H33" i="3" s="1"/>
  <c r="G35" i="3"/>
  <c r="H34" i="3" s="1"/>
  <c r="I33" i="3" s="1"/>
  <c r="G36" i="3"/>
  <c r="H35" i="3" s="1"/>
  <c r="I34" i="3" s="1"/>
  <c r="J33" i="3" s="1"/>
  <c r="G37" i="3"/>
  <c r="G38" i="3"/>
  <c r="H37" i="3" s="1"/>
  <c r="G39" i="3"/>
  <c r="G40" i="3"/>
  <c r="G41" i="3"/>
  <c r="G42" i="3"/>
  <c r="G43" i="3"/>
  <c r="G44" i="3"/>
  <c r="H43" i="3" s="1"/>
  <c r="G45" i="3"/>
  <c r="H44" i="3" s="1"/>
  <c r="I43" i="3" s="1"/>
  <c r="G46" i="3"/>
  <c r="H45" i="3" s="1"/>
  <c r="G47" i="3"/>
  <c r="G48" i="3"/>
  <c r="H47" i="3" s="1"/>
  <c r="G49" i="3"/>
  <c r="G50" i="3"/>
  <c r="G51" i="3"/>
  <c r="G52" i="3"/>
  <c r="G53" i="3"/>
  <c r="G54" i="3"/>
  <c r="H53" i="3" s="1"/>
  <c r="G55" i="3"/>
  <c r="G56" i="3"/>
  <c r="H55" i="3" s="1"/>
  <c r="I54" i="3" s="1"/>
  <c r="G57" i="3"/>
  <c r="G58" i="3"/>
  <c r="H57" i="3" s="1"/>
  <c r="G59" i="3"/>
  <c r="G60" i="3"/>
  <c r="G61" i="3"/>
  <c r="G62" i="3"/>
  <c r="G63" i="3"/>
  <c r="G64" i="3"/>
  <c r="H63" i="3" s="1"/>
  <c r="G65" i="3"/>
  <c r="H64" i="3" s="1"/>
  <c r="G66" i="3"/>
  <c r="H65" i="3" s="1"/>
  <c r="I64" i="3" s="1"/>
  <c r="G67" i="3"/>
  <c r="H67" i="3" s="1"/>
  <c r="G2" i="3"/>
  <c r="H2" i="3" s="1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4" i="3"/>
  <c r="F5" i="3"/>
  <c r="F6" i="3"/>
  <c r="F7" i="3"/>
  <c r="F8" i="3"/>
  <c r="F3" i="3"/>
  <c r="F2" i="3"/>
  <c r="K74" i="4" l="1"/>
  <c r="Q78" i="4" s="1"/>
  <c r="K75" i="4"/>
  <c r="N74" i="4"/>
  <c r="N75" i="4"/>
  <c r="Q74" i="4"/>
  <c r="Q75" i="4"/>
  <c r="Q79" i="4"/>
  <c r="N79" i="4"/>
  <c r="N78" i="4"/>
  <c r="I14" i="3"/>
  <c r="I63" i="3"/>
  <c r="I16" i="3"/>
  <c r="H56" i="3"/>
  <c r="I55" i="3" s="1"/>
  <c r="J54" i="3" s="1"/>
  <c r="H46" i="3"/>
  <c r="I45" i="3" s="1"/>
  <c r="H26" i="3"/>
  <c r="I25" i="3" s="1"/>
  <c r="I44" i="3"/>
  <c r="J43" i="3" s="1"/>
  <c r="H6" i="3"/>
  <c r="I5" i="3" s="1"/>
  <c r="I3" i="3"/>
  <c r="J3" i="3" s="1"/>
  <c r="H36" i="3"/>
  <c r="H60" i="3"/>
  <c r="I59" i="3" s="1"/>
  <c r="H50" i="3"/>
  <c r="I49" i="3" s="1"/>
  <c r="H40" i="3"/>
  <c r="I39" i="3" s="1"/>
  <c r="H30" i="3"/>
  <c r="I29" i="3" s="1"/>
  <c r="H20" i="3"/>
  <c r="I19" i="3" s="1"/>
  <c r="J18" i="3" s="1"/>
  <c r="K17" i="3" s="1"/>
  <c r="H10" i="3"/>
  <c r="I9" i="3" s="1"/>
  <c r="J8" i="3" s="1"/>
  <c r="H66" i="3"/>
  <c r="I65" i="3" s="1"/>
  <c r="J64" i="3" s="1"/>
  <c r="K63" i="3" s="1"/>
  <c r="H59" i="3"/>
  <c r="H49" i="3"/>
  <c r="H39" i="3"/>
  <c r="H29" i="3"/>
  <c r="H19" i="3"/>
  <c r="I18" i="3" s="1"/>
  <c r="J17" i="3" s="1"/>
  <c r="K16" i="3" s="1"/>
  <c r="H9" i="3"/>
  <c r="I8" i="3" s="1"/>
  <c r="H52" i="3"/>
  <c r="I52" i="3" s="1"/>
  <c r="J52" i="3" s="1"/>
  <c r="H42" i="3"/>
  <c r="I42" i="3" s="1"/>
  <c r="H32" i="3"/>
  <c r="H12" i="3"/>
  <c r="I12" i="3" s="1"/>
  <c r="J12" i="3" s="1"/>
  <c r="H58" i="3"/>
  <c r="I57" i="3" s="1"/>
  <c r="H48" i="3"/>
  <c r="I47" i="3" s="1"/>
  <c r="H38" i="3"/>
  <c r="I37" i="3" s="1"/>
  <c r="H28" i="3"/>
  <c r="I27" i="3" s="1"/>
  <c r="H18" i="3"/>
  <c r="I17" i="3" s="1"/>
  <c r="J16" i="3" s="1"/>
  <c r="H8" i="3"/>
  <c r="I7" i="3" s="1"/>
  <c r="I35" i="3"/>
  <c r="J34" i="3" s="1"/>
  <c r="K33" i="3" s="1"/>
  <c r="H61" i="3"/>
  <c r="I60" i="3" s="1"/>
  <c r="H21" i="3"/>
  <c r="I20" i="3" s="1"/>
  <c r="I15" i="3"/>
  <c r="J14" i="3" s="1"/>
  <c r="K13" i="3" s="1"/>
  <c r="J13" i="3"/>
  <c r="J53" i="3"/>
  <c r="H24" i="3"/>
  <c r="I23" i="3" s="1"/>
  <c r="J63" i="3"/>
  <c r="J36" i="3"/>
  <c r="I36" i="3"/>
  <c r="I32" i="3"/>
  <c r="P7" i="3"/>
  <c r="O8" i="3"/>
  <c r="I38" i="3"/>
  <c r="J37" i="3" s="1"/>
  <c r="I67" i="3"/>
  <c r="I2" i="3"/>
  <c r="J2" i="3" s="1"/>
  <c r="J7" i="3"/>
  <c r="J4" i="3"/>
  <c r="H62" i="3"/>
  <c r="H22" i="3"/>
  <c r="H51" i="3"/>
  <c r="H41" i="3"/>
  <c r="H31" i="3"/>
  <c r="H11" i="3"/>
  <c r="J56" i="3" l="1"/>
  <c r="K55" i="3" s="1"/>
  <c r="I58" i="3"/>
  <c r="J57" i="3" s="1"/>
  <c r="K56" i="3" s="1"/>
  <c r="I6" i="3"/>
  <c r="J5" i="3" s="1"/>
  <c r="I46" i="3"/>
  <c r="J45" i="3" s="1"/>
  <c r="K2" i="3"/>
  <c r="I40" i="3"/>
  <c r="J39" i="3" s="1"/>
  <c r="I66" i="3"/>
  <c r="J65" i="3" s="1"/>
  <c r="K64" i="3" s="1"/>
  <c r="I28" i="3"/>
  <c r="J27" i="3" s="1"/>
  <c r="I56" i="3"/>
  <c r="J55" i="3" s="1"/>
  <c r="K54" i="3" s="1"/>
  <c r="K3" i="3"/>
  <c r="J59" i="3"/>
  <c r="I10" i="3"/>
  <c r="J9" i="3" s="1"/>
  <c r="K8" i="3" s="1"/>
  <c r="K53" i="3"/>
  <c r="I50" i="3"/>
  <c r="J49" i="3" s="1"/>
  <c r="J44" i="3"/>
  <c r="K43" i="3" s="1"/>
  <c r="J6" i="3"/>
  <c r="K5" i="3" s="1"/>
  <c r="I30" i="3"/>
  <c r="J29" i="3" s="1"/>
  <c r="I26" i="3"/>
  <c r="I48" i="3"/>
  <c r="J47" i="3" s="1"/>
  <c r="K36" i="3"/>
  <c r="J46" i="3"/>
  <c r="J35" i="3"/>
  <c r="K34" i="3" s="1"/>
  <c r="I24" i="3"/>
  <c r="J38" i="3"/>
  <c r="K37" i="3" s="1"/>
  <c r="J15" i="3"/>
  <c r="K14" i="3" s="1"/>
  <c r="P8" i="3"/>
  <c r="Q7" i="3"/>
  <c r="J11" i="3"/>
  <c r="I31" i="3"/>
  <c r="J30" i="3" s="1"/>
  <c r="K29" i="3" s="1"/>
  <c r="K7" i="3"/>
  <c r="J67" i="3"/>
  <c r="I22" i="3"/>
  <c r="I21" i="3"/>
  <c r="J20" i="3" s="1"/>
  <c r="I11" i="3"/>
  <c r="I62" i="3"/>
  <c r="I61" i="3"/>
  <c r="J60" i="3" s="1"/>
  <c r="K59" i="3" s="1"/>
  <c r="I41" i="3"/>
  <c r="J32" i="3"/>
  <c r="I51" i="3"/>
  <c r="K11" i="3"/>
  <c r="J19" i="3"/>
  <c r="K18" i="3" s="1"/>
  <c r="K4" i="3"/>
  <c r="K52" i="3"/>
  <c r="K12" i="3"/>
  <c r="J42" i="3"/>
  <c r="J66" i="3" l="1"/>
  <c r="K65" i="3" s="1"/>
  <c r="K44" i="3"/>
  <c r="J58" i="3"/>
  <c r="K57" i="3" s="1"/>
  <c r="J50" i="3"/>
  <c r="K49" i="3" s="1"/>
  <c r="J40" i="3"/>
  <c r="K39" i="3" s="1"/>
  <c r="K6" i="3"/>
  <c r="J10" i="3"/>
  <c r="K9" i="3" s="1"/>
  <c r="J25" i="3"/>
  <c r="J26" i="3"/>
  <c r="J48" i="3"/>
  <c r="K47" i="3" s="1"/>
  <c r="J28" i="3"/>
  <c r="K27" i="3" s="1"/>
  <c r="J23" i="3"/>
  <c r="J24" i="3"/>
  <c r="K45" i="3"/>
  <c r="K46" i="3"/>
  <c r="K38" i="3"/>
  <c r="J31" i="3"/>
  <c r="K30" i="3" s="1"/>
  <c r="K15" i="3"/>
  <c r="K19" i="3"/>
  <c r="K35" i="3"/>
  <c r="J41" i="3"/>
  <c r="J21" i="3"/>
  <c r="K20" i="3" s="1"/>
  <c r="J22" i="3"/>
  <c r="K67" i="3"/>
  <c r="K66" i="3"/>
  <c r="K42" i="3"/>
  <c r="J51" i="3"/>
  <c r="J61" i="3"/>
  <c r="K60" i="3" s="1"/>
  <c r="J62" i="3"/>
  <c r="Q8" i="3"/>
  <c r="R7" i="3"/>
  <c r="K32" i="3"/>
  <c r="K40" i="3" l="1"/>
  <c r="K58" i="3"/>
  <c r="K10" i="3"/>
  <c r="K25" i="3"/>
  <c r="K26" i="3"/>
  <c r="K48" i="3"/>
  <c r="K28" i="3"/>
  <c r="K31" i="3"/>
  <c r="K23" i="3"/>
  <c r="K24" i="3"/>
  <c r="K41" i="3"/>
  <c r="K61" i="3"/>
  <c r="K62" i="3"/>
  <c r="K50" i="3"/>
  <c r="K51" i="3"/>
  <c r="K21" i="3"/>
  <c r="K22" i="3"/>
  <c r="R8" i="3"/>
  <c r="S7" i="3"/>
  <c r="S8" i="3" s="1"/>
  <c r="H3" i="2" l="1"/>
  <c r="I3" i="2"/>
  <c r="J3" i="2"/>
  <c r="K3" i="2"/>
  <c r="L3" i="2"/>
  <c r="M3" i="2"/>
  <c r="N3" i="2"/>
  <c r="O3" i="2"/>
  <c r="P3" i="2"/>
  <c r="Q3" i="2"/>
  <c r="R3" i="2"/>
  <c r="H4" i="2"/>
  <c r="I4" i="2"/>
  <c r="J4" i="2"/>
  <c r="K4" i="2"/>
  <c r="L4" i="2"/>
  <c r="M4" i="2"/>
  <c r="N4" i="2"/>
  <c r="O4" i="2"/>
  <c r="P4" i="2"/>
  <c r="Q4" i="2"/>
  <c r="R4" i="2"/>
  <c r="H5" i="2"/>
  <c r="I5" i="2"/>
  <c r="J5" i="2"/>
  <c r="K5" i="2"/>
  <c r="L5" i="2"/>
  <c r="M5" i="2"/>
  <c r="N5" i="2"/>
  <c r="O5" i="2"/>
  <c r="P5" i="2"/>
  <c r="Q5" i="2"/>
  <c r="R5" i="2"/>
  <c r="H6" i="2"/>
  <c r="I6" i="2"/>
  <c r="J6" i="2"/>
  <c r="K6" i="2"/>
  <c r="L6" i="2"/>
  <c r="M6" i="2"/>
  <c r="N6" i="2"/>
  <c r="O6" i="2"/>
  <c r="P6" i="2"/>
  <c r="Q6" i="2"/>
  <c r="R6" i="2"/>
  <c r="H7" i="2"/>
  <c r="I7" i="2"/>
  <c r="J7" i="2"/>
  <c r="K7" i="2"/>
  <c r="L7" i="2"/>
  <c r="M7" i="2"/>
  <c r="N7" i="2"/>
  <c r="O7" i="2"/>
  <c r="P7" i="2"/>
  <c r="Q7" i="2"/>
  <c r="R7" i="2"/>
  <c r="H8" i="2"/>
  <c r="I8" i="2"/>
  <c r="J8" i="2"/>
  <c r="K8" i="2"/>
  <c r="L8" i="2"/>
  <c r="M8" i="2"/>
  <c r="N8" i="2"/>
  <c r="O8" i="2"/>
  <c r="P8" i="2"/>
  <c r="Q8" i="2"/>
  <c r="R8" i="2"/>
  <c r="H9" i="2"/>
  <c r="I9" i="2"/>
  <c r="J9" i="2"/>
  <c r="K9" i="2"/>
  <c r="L9" i="2"/>
  <c r="M9" i="2"/>
  <c r="N9" i="2"/>
  <c r="O9" i="2"/>
  <c r="P9" i="2"/>
  <c r="Q9" i="2"/>
  <c r="R9" i="2"/>
  <c r="H10" i="2"/>
  <c r="I10" i="2"/>
  <c r="J10" i="2"/>
  <c r="K10" i="2"/>
  <c r="L10" i="2"/>
  <c r="M10" i="2"/>
  <c r="N10" i="2"/>
  <c r="O10" i="2"/>
  <c r="P10" i="2"/>
  <c r="Q10" i="2"/>
  <c r="R10" i="2"/>
  <c r="H11" i="2"/>
  <c r="I11" i="2"/>
  <c r="J11" i="2"/>
  <c r="K11" i="2"/>
  <c r="L11" i="2"/>
  <c r="M11" i="2"/>
  <c r="N11" i="2"/>
  <c r="O11" i="2"/>
  <c r="P11" i="2"/>
  <c r="Q11" i="2"/>
  <c r="R11" i="2"/>
  <c r="H12" i="2"/>
  <c r="I12" i="2"/>
  <c r="J12" i="2"/>
  <c r="K12" i="2"/>
  <c r="L12" i="2"/>
  <c r="M12" i="2"/>
  <c r="N12" i="2"/>
  <c r="O12" i="2"/>
  <c r="P12" i="2"/>
  <c r="Q12" i="2"/>
  <c r="R12" i="2"/>
  <c r="I2" i="2"/>
  <c r="J2" i="2"/>
  <c r="K2" i="2"/>
  <c r="L2" i="2"/>
  <c r="M2" i="2"/>
  <c r="N2" i="2"/>
  <c r="O2" i="2"/>
  <c r="P2" i="2"/>
  <c r="Q2" i="2"/>
  <c r="R2" i="2"/>
  <c r="H2" i="2"/>
  <c r="E6" i="2" l="1"/>
  <c r="E7" i="2"/>
  <c r="F7" i="2" s="1"/>
  <c r="E8" i="2"/>
  <c r="F8" i="2" s="1"/>
  <c r="E9" i="2"/>
  <c r="F9" i="2" s="1"/>
  <c r="E10" i="2"/>
  <c r="F10" i="2" s="1"/>
  <c r="D3" i="2"/>
  <c r="E3" i="2" s="1"/>
  <c r="F3" i="2" s="1"/>
  <c r="D4" i="2"/>
  <c r="E4" i="2" s="1"/>
  <c r="D5" i="2"/>
  <c r="E5" i="2" s="1"/>
  <c r="F5" i="2" s="1"/>
  <c r="D6" i="2"/>
  <c r="D7" i="2"/>
  <c r="D8" i="2"/>
  <c r="D9" i="2"/>
  <c r="D10" i="2"/>
  <c r="D11" i="2"/>
  <c r="E11" i="2" s="1"/>
  <c r="F11" i="2" s="1"/>
  <c r="D2" i="2"/>
  <c r="E2" i="2" s="1"/>
  <c r="F4" i="2" l="1"/>
  <c r="T2" i="2" a="1"/>
  <c r="T2" i="2" s="1"/>
  <c r="F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<sst xmlns="http://schemas.openxmlformats.org/spreadsheetml/2006/main" count="96" uniqueCount="73">
  <si>
    <t># --------------------------------------------------------------------</t>
  </si>
  <si>
    <t># USE OF NOAA GML DATA</t>
  </si>
  <si>
    <t xml:space="preserve"># </t>
  </si>
  <si>
    <t># These data are made freely available to the public and the scientific</t>
  </si>
  <si>
    <t># community in the belief that their wide dissemination will lead to</t>
  </si>
  <si>
    <t># greater understanding and new scientific insights. To ensure that GML</t>
  </si>
  <si>
    <t># receives fair credit for their work please include relevant citation</t>
  </si>
  <si>
    <t># text in publications. We encourage users to contact the data providers,</t>
  </si>
  <si>
    <t># who can provide detailed information about the measurements and</t>
  </si>
  <si>
    <t># scientific insight.  In cases where the data are central to a</t>
  </si>
  <si>
    <t># publication, coauthorship for data providers may be appropriate.</t>
  </si>
  <si>
    <t># Contact:  Xin Lan (xin.lan@noaa.gov)</t>
  </si>
  <si>
    <t># See gml.noaa.gov/ccgg/trends/ for additional details.</t>
  </si>
  <si>
    <t># Data from March 1958 through April 1974 have been obtained by C. David Keeling</t>
  </si>
  <si>
    <t># of the Scripps Institution of Oceanography (SIO) and were obtained from the</t>
  </si>
  <si>
    <t># Scripps website (scrippsco2.ucsd.edu).</t>
  </si>
  <si>
    <t>#</t>
  </si>
  <si>
    <t># The estimated uncertainty in the annual mean is the standard deviation</t>
  </si>
  <si>
    <t># of the differences of annual mean values determined independently by</t>
  </si>
  <si>
    <t># NOAA/ESRL and the Scripps Institution of Oceanography.</t>
  </si>
  <si>
    <t># NOTE: In general, the data presented for the last year are subject to change,</t>
  </si>
  <si>
    <t># depending on recalibration of the reference gas mixtures used, and other quality</t>
  </si>
  <si>
    <t># control procedures. Occasionally, earlier years may also be changed for the same</t>
  </si>
  <si>
    <t># reasons.  Usually these changes are minor.</t>
  </si>
  <si>
    <t># CO2 expressed as a mole fraction in dry air, micromol/mol, abbreviated as ppm</t>
  </si>
  <si>
    <t># NOTE: Due to the eruption of the Mauna Loa Volcano, measurements from Mauna Loa Observatory</t>
  </si>
  <si>
    <t xml:space="preserve"># were suspended as of Nov. 29, 2022 and resumed in July 2023. </t>
  </si>
  <si>
    <t xml:space="preserve"># Observations starting from December 2022 to July 4, 2023 are from a site at the </t>
  </si>
  <si>
    <t># Maunakea Observatories, approximately 21 miles north of the Mauna Loa Observatory.</t>
  </si>
  <si>
    <t>year</t>
  </si>
  <si>
    <t>mean</t>
  </si>
  <si>
    <t>unc</t>
  </si>
  <si>
    <t># File Creation: Thu Nov 13 14:35:37 2025</t>
  </si>
  <si>
    <t>Year x_i</t>
  </si>
  <si>
    <t>CO2 y_i</t>
  </si>
  <si>
    <t>f[xi,xi+1]</t>
  </si>
  <si>
    <t>RHS</t>
  </si>
  <si>
    <t>Δx_i</t>
  </si>
  <si>
    <t>i</t>
  </si>
  <si>
    <t>Coefficient Matrix</t>
  </si>
  <si>
    <t>Solution</t>
  </si>
  <si>
    <t>x</t>
  </si>
  <si>
    <t>x=</t>
  </si>
  <si>
    <t>Distance from x |x-k|</t>
  </si>
  <si>
    <t>k</t>
  </si>
  <si>
    <t>Year (x_k)</t>
  </si>
  <si>
    <t>CO2 {f(x_k)}</t>
  </si>
  <si>
    <t>f(x_k+1, x_k)</t>
  </si>
  <si>
    <t>f_2[ ]</t>
  </si>
  <si>
    <t>f_3[ ]</t>
  </si>
  <si>
    <t>f_4[ ]</t>
  </si>
  <si>
    <t>f_5[ ]</t>
  </si>
  <si>
    <t>Order of interpolation</t>
  </si>
  <si>
    <t>j</t>
  </si>
  <si>
    <t>(x- xj)</t>
  </si>
  <si>
    <t>(f_j(x))</t>
  </si>
  <si>
    <t>eps_a</t>
  </si>
  <si>
    <t>f(x)</t>
  </si>
  <si>
    <t>Mean f''(x)</t>
  </si>
  <si>
    <t>St. Dev. Of f"(x)</t>
  </si>
  <si>
    <t>2nd Order</t>
  </si>
  <si>
    <t>4th Order</t>
  </si>
  <si>
    <t>f'(x) 2nd order</t>
  </si>
  <si>
    <t>f'(x) 4th order</t>
  </si>
  <si>
    <t>f"(x) 4th order</t>
  </si>
  <si>
    <t>f''(x) 2nd order</t>
  </si>
  <si>
    <t>N</t>
  </si>
  <si>
    <t>2nd order</t>
  </si>
  <si>
    <t>4th order</t>
  </si>
  <si>
    <t>Error</t>
  </si>
  <si>
    <t>Lower Bound</t>
  </si>
  <si>
    <t>Upper Bound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</si>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</sst>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0.000"/>
    <numFmt numFmtId="171" formatCode="0.0"/>
    <numFmt numFmtId="172" formatCode="0.0000"/>
    <numFmt numFmtId="173" formatCode="0.00000"/>
  </numFmts>
  <fonts count="5" x14ac:knownFonts="1">
    <font>
      <sz val="10"/>
      <name val="Arial"/>
      <family val="2"/>
    </font>
    <font>
      <sz val="10"/>
      <name val="Arial"/>
      <family val="2"/>
      <charset val="1"/>
    </font>
    <font>
      <sz val="10"/>
      <name val="Arial Unicode MS"/>
      <family val="2"/>
    </font>
    <font>
      <b/>
      <sz val="10"/>
      <name val="Arial"/>
      <family val="2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wrapText="1"/>
    </xf>
    <xf numFmtId="0" fontId="0" fillId="0" borderId="1" xfId="0" applyFill="1" applyBorder="1" applyAlignment="1">
      <alignment horizontal="right"/>
    </xf>
    <xf numFmtId="2" fontId="0" fillId="0" borderId="0" xfId="0" applyNumberFormat="1"/>
    <xf numFmtId="170" fontId="0" fillId="0" borderId="0" xfId="0" applyNumberFormat="1"/>
    <xf numFmtId="0" fontId="3" fillId="0" borderId="0" xfId="0" applyFont="1" applyFill="1" applyBorder="1" applyAlignment="1">
      <alignment horizontal="center"/>
    </xf>
    <xf numFmtId="0" fontId="3" fillId="0" borderId="0" xfId="0" applyFont="1"/>
    <xf numFmtId="170" fontId="0" fillId="0" borderId="9" xfId="0" applyNumberFormat="1" applyBorder="1"/>
    <xf numFmtId="170" fontId="0" fillId="0" borderId="10" xfId="0" applyNumberFormat="1" applyBorder="1"/>
    <xf numFmtId="170" fontId="0" fillId="0" borderId="1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0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1" xfId="0" applyNumberFormat="1" applyBorder="1"/>
    <xf numFmtId="2" fontId="0" fillId="0" borderId="8" xfId="0" applyNumberFormat="1" applyBorder="1"/>
    <xf numFmtId="0" fontId="0" fillId="0" borderId="0" xfId="0" applyFont="1"/>
    <xf numFmtId="0" fontId="3" fillId="0" borderId="1" xfId="0" applyFont="1" applyBorder="1"/>
    <xf numFmtId="0" fontId="0" fillId="0" borderId="12" xfId="0" applyBorder="1"/>
    <xf numFmtId="0" fontId="0" fillId="0" borderId="13" xfId="0" applyBorder="1"/>
    <xf numFmtId="0" fontId="3" fillId="0" borderId="0" xfId="0" applyFont="1" applyFill="1" applyBorder="1"/>
    <xf numFmtId="172" fontId="0" fillId="0" borderId="0" xfId="0" applyNumberFormat="1"/>
    <xf numFmtId="173" fontId="0" fillId="0" borderId="0" xfId="0" applyNumberFormat="1"/>
    <xf numFmtId="0" fontId="3" fillId="0" borderId="1" xfId="0" applyFont="1" applyFill="1" applyBorder="1"/>
    <xf numFmtId="1" fontId="0" fillId="0" borderId="0" xfId="0" applyNumberFormat="1"/>
    <xf numFmtId="0" fontId="0" fillId="2" borderId="0" xfId="0" applyFill="1"/>
    <xf numFmtId="173" fontId="0" fillId="2" borderId="0" xfId="0" applyNumberFormat="1" applyFill="1"/>
    <xf numFmtId="171" fontId="0" fillId="2" borderId="0" xfId="0" applyNumberFormat="1" applyFill="1"/>
    <xf numFmtId="2" fontId="1" fillId="0" borderId="0" xfId="0" applyNumberFormat="1" applyFont="1"/>
    <xf numFmtId="0" fontId="4" fillId="0" borderId="1" xfId="0" applyFont="1" applyBorder="1"/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Sheet1!$B$45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Sheet1!$A$46:$A$111</c:f>
              <c:numCache>
                <c:formatCode>General</c:formatCode>
                <c:ptCount val="66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2018</c:v>
                </c:pt>
                <c:pt idx="60">
                  <c:v>2019</c:v>
                </c:pt>
                <c:pt idx="61">
                  <c:v>2020</c:v>
                </c:pt>
                <c:pt idx="62">
                  <c:v>2021</c:v>
                </c:pt>
                <c:pt idx="63">
                  <c:v>2022</c:v>
                </c:pt>
                <c:pt idx="64">
                  <c:v>2023</c:v>
                </c:pt>
                <c:pt idx="65">
                  <c:v>2024</c:v>
                </c:pt>
              </c:numCache>
            </c:numRef>
          </c:xVal>
          <c:yVal>
            <c:numRef>
              <c:f>Sheet1!$B$46:$B$111</c:f>
              <c:numCache>
                <c:formatCode>General</c:formatCode>
                <c:ptCount val="66"/>
                <c:pt idx="0">
                  <c:v>315.98</c:v>
                </c:pt>
                <c:pt idx="1">
                  <c:v>316.91000000000003</c:v>
                </c:pt>
                <c:pt idx="2">
                  <c:v>317.64</c:v>
                </c:pt>
                <c:pt idx="3">
                  <c:v>318.45</c:v>
                </c:pt>
                <c:pt idx="4">
                  <c:v>318.99</c:v>
                </c:pt>
                <c:pt idx="5">
                  <c:v>319.62</c:v>
                </c:pt>
                <c:pt idx="6">
                  <c:v>320.04000000000002</c:v>
                </c:pt>
                <c:pt idx="7">
                  <c:v>321.37</c:v>
                </c:pt>
                <c:pt idx="8">
                  <c:v>322.18</c:v>
                </c:pt>
                <c:pt idx="9">
                  <c:v>323.05</c:v>
                </c:pt>
                <c:pt idx="10">
                  <c:v>324.62</c:v>
                </c:pt>
                <c:pt idx="11">
                  <c:v>325.68</c:v>
                </c:pt>
                <c:pt idx="12">
                  <c:v>326.32</c:v>
                </c:pt>
                <c:pt idx="13">
                  <c:v>327.45999999999998</c:v>
                </c:pt>
                <c:pt idx="14">
                  <c:v>329.68</c:v>
                </c:pt>
                <c:pt idx="15">
                  <c:v>330.19</c:v>
                </c:pt>
                <c:pt idx="16">
                  <c:v>331.13</c:v>
                </c:pt>
                <c:pt idx="17">
                  <c:v>332.03</c:v>
                </c:pt>
                <c:pt idx="18">
                  <c:v>333.84</c:v>
                </c:pt>
                <c:pt idx="19">
                  <c:v>335.41</c:v>
                </c:pt>
                <c:pt idx="20">
                  <c:v>336.84</c:v>
                </c:pt>
                <c:pt idx="21">
                  <c:v>338.76</c:v>
                </c:pt>
                <c:pt idx="22">
                  <c:v>340.12</c:v>
                </c:pt>
                <c:pt idx="23">
                  <c:v>341.48</c:v>
                </c:pt>
                <c:pt idx="24">
                  <c:v>343.15</c:v>
                </c:pt>
                <c:pt idx="25">
                  <c:v>344.87</c:v>
                </c:pt>
                <c:pt idx="26">
                  <c:v>346.35</c:v>
                </c:pt>
                <c:pt idx="27">
                  <c:v>347.61</c:v>
                </c:pt>
                <c:pt idx="28">
                  <c:v>349.31</c:v>
                </c:pt>
                <c:pt idx="29">
                  <c:v>351.69</c:v>
                </c:pt>
                <c:pt idx="30">
                  <c:v>353.2</c:v>
                </c:pt>
                <c:pt idx="31">
                  <c:v>354.45</c:v>
                </c:pt>
                <c:pt idx="32">
                  <c:v>355.7</c:v>
                </c:pt>
                <c:pt idx="33">
                  <c:v>356.54</c:v>
                </c:pt>
                <c:pt idx="34">
                  <c:v>357.21</c:v>
                </c:pt>
                <c:pt idx="35">
                  <c:v>358.96</c:v>
                </c:pt>
                <c:pt idx="36">
                  <c:v>360.97</c:v>
                </c:pt>
                <c:pt idx="37">
                  <c:v>362.74</c:v>
                </c:pt>
                <c:pt idx="38">
                  <c:v>363.88</c:v>
                </c:pt>
                <c:pt idx="39">
                  <c:v>366.84</c:v>
                </c:pt>
                <c:pt idx="40">
                  <c:v>368.54</c:v>
                </c:pt>
                <c:pt idx="41">
                  <c:v>369.71</c:v>
                </c:pt>
                <c:pt idx="42">
                  <c:v>371.32</c:v>
                </c:pt>
                <c:pt idx="43">
                  <c:v>373.45</c:v>
                </c:pt>
                <c:pt idx="44">
                  <c:v>375.98</c:v>
                </c:pt>
                <c:pt idx="45">
                  <c:v>377.7</c:v>
                </c:pt>
                <c:pt idx="46">
                  <c:v>379.98</c:v>
                </c:pt>
                <c:pt idx="47">
                  <c:v>382.09</c:v>
                </c:pt>
                <c:pt idx="48">
                  <c:v>384.02</c:v>
                </c:pt>
                <c:pt idx="49">
                  <c:v>385.83</c:v>
                </c:pt>
                <c:pt idx="50">
                  <c:v>387.64</c:v>
                </c:pt>
                <c:pt idx="51">
                  <c:v>390.1</c:v>
                </c:pt>
                <c:pt idx="52">
                  <c:v>391.85</c:v>
                </c:pt>
                <c:pt idx="53">
                  <c:v>394.06</c:v>
                </c:pt>
                <c:pt idx="54">
                  <c:v>396.74</c:v>
                </c:pt>
                <c:pt idx="55">
                  <c:v>398.81</c:v>
                </c:pt>
                <c:pt idx="56">
                  <c:v>401.01</c:v>
                </c:pt>
                <c:pt idx="57">
                  <c:v>404.41</c:v>
                </c:pt>
                <c:pt idx="58">
                  <c:v>406.76</c:v>
                </c:pt>
                <c:pt idx="59">
                  <c:v>408.72</c:v>
                </c:pt>
                <c:pt idx="60">
                  <c:v>411.65</c:v>
                </c:pt>
                <c:pt idx="61">
                  <c:v>414.21</c:v>
                </c:pt>
                <c:pt idx="62">
                  <c:v>416.41</c:v>
                </c:pt>
                <c:pt idx="63">
                  <c:v>418.53</c:v>
                </c:pt>
                <c:pt idx="64">
                  <c:v>421.08</c:v>
                </c:pt>
                <c:pt idx="65">
                  <c:v>424.61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47-F343-93FE-6824EC930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153215"/>
        <c:axId val="961150975"/>
      </c:scatterChart>
      <c:valAx>
        <c:axId val="961153215"/>
        <c:scaling>
          <c:orientation val="minMax"/>
          <c:max val="2030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50114114583333336"/>
              <c:y val="0.930185277777777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61150975"/>
        <c:crosses val="autoZero"/>
        <c:crossBetween val="midCat"/>
        <c:majorUnit val="20"/>
        <c:minorUnit val="2"/>
      </c:valAx>
      <c:valAx>
        <c:axId val="961150975"/>
        <c:scaling>
          <c:orientation val="minMax"/>
          <c:max val="45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Ann Mean CO2 Concentration [ppm]</a:t>
                </a:r>
              </a:p>
            </c:rich>
          </c:tx>
          <c:layout>
            <c:manualLayout>
              <c:xMode val="edge"/>
              <c:yMode val="edge"/>
              <c:x val="6.6145833333333334E-3"/>
              <c:y val="9.015138888888889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61153215"/>
        <c:crosses val="autoZero"/>
        <c:crossBetween val="midCat"/>
        <c:majorUnit val="25"/>
        <c:minorUnit val="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2nd and 4th Order</a:t>
            </a:r>
            <a:r>
              <a:rPr lang="en-US" baseline="0"/>
              <a:t> Centered Differences for Mean Annual CO2 Concentrations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Mean CO2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3 a'!$B$2:$B$67</c:f>
              <c:numCache>
                <c:formatCode>General</c:formatCode>
                <c:ptCount val="66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2018</c:v>
                </c:pt>
                <c:pt idx="60">
                  <c:v>2019</c:v>
                </c:pt>
                <c:pt idx="61">
                  <c:v>2020</c:v>
                </c:pt>
                <c:pt idx="62">
                  <c:v>2021</c:v>
                </c:pt>
                <c:pt idx="63">
                  <c:v>2022</c:v>
                </c:pt>
                <c:pt idx="64">
                  <c:v>2023</c:v>
                </c:pt>
                <c:pt idx="65">
                  <c:v>2024</c:v>
                </c:pt>
              </c:numCache>
            </c:numRef>
          </c:xVal>
          <c:yVal>
            <c:numRef>
              <c:f>'Question 3 a'!$C$2:$C$67</c:f>
              <c:numCache>
                <c:formatCode>General</c:formatCode>
                <c:ptCount val="66"/>
                <c:pt idx="0" formatCode="0.00">
                  <c:v>315.98</c:v>
                </c:pt>
                <c:pt idx="1">
                  <c:v>316.91000000000003</c:v>
                </c:pt>
                <c:pt idx="2">
                  <c:v>317.64</c:v>
                </c:pt>
                <c:pt idx="3">
                  <c:v>318.45</c:v>
                </c:pt>
                <c:pt idx="4">
                  <c:v>318.99</c:v>
                </c:pt>
                <c:pt idx="5">
                  <c:v>319.62</c:v>
                </c:pt>
                <c:pt idx="6">
                  <c:v>320.04000000000002</c:v>
                </c:pt>
                <c:pt idx="7">
                  <c:v>321.37</c:v>
                </c:pt>
                <c:pt idx="8">
                  <c:v>322.18</c:v>
                </c:pt>
                <c:pt idx="9">
                  <c:v>323.05</c:v>
                </c:pt>
                <c:pt idx="10">
                  <c:v>324.62</c:v>
                </c:pt>
                <c:pt idx="11">
                  <c:v>325.68</c:v>
                </c:pt>
                <c:pt idx="12">
                  <c:v>326.32</c:v>
                </c:pt>
                <c:pt idx="13">
                  <c:v>327.45999999999998</c:v>
                </c:pt>
                <c:pt idx="14">
                  <c:v>329.68</c:v>
                </c:pt>
                <c:pt idx="15">
                  <c:v>330.19</c:v>
                </c:pt>
                <c:pt idx="16">
                  <c:v>331.13</c:v>
                </c:pt>
                <c:pt idx="17">
                  <c:v>332.03</c:v>
                </c:pt>
                <c:pt idx="18">
                  <c:v>333.84</c:v>
                </c:pt>
                <c:pt idx="19">
                  <c:v>335.41</c:v>
                </c:pt>
                <c:pt idx="20">
                  <c:v>336.84</c:v>
                </c:pt>
                <c:pt idx="21">
                  <c:v>338.76</c:v>
                </c:pt>
                <c:pt idx="22">
                  <c:v>340.12</c:v>
                </c:pt>
                <c:pt idx="23">
                  <c:v>341.48</c:v>
                </c:pt>
                <c:pt idx="24">
                  <c:v>343.15</c:v>
                </c:pt>
                <c:pt idx="25">
                  <c:v>344.87</c:v>
                </c:pt>
                <c:pt idx="26">
                  <c:v>346.35</c:v>
                </c:pt>
                <c:pt idx="27">
                  <c:v>347.61</c:v>
                </c:pt>
                <c:pt idx="28">
                  <c:v>349.31</c:v>
                </c:pt>
                <c:pt idx="29">
                  <c:v>351.69</c:v>
                </c:pt>
                <c:pt idx="30">
                  <c:v>353.2</c:v>
                </c:pt>
                <c:pt idx="31">
                  <c:v>354.45</c:v>
                </c:pt>
                <c:pt idx="32">
                  <c:v>355.7</c:v>
                </c:pt>
                <c:pt idx="33">
                  <c:v>356.54</c:v>
                </c:pt>
                <c:pt idx="34">
                  <c:v>357.21</c:v>
                </c:pt>
                <c:pt idx="35">
                  <c:v>358.96</c:v>
                </c:pt>
                <c:pt idx="36">
                  <c:v>360.97</c:v>
                </c:pt>
                <c:pt idx="37">
                  <c:v>362.74</c:v>
                </c:pt>
                <c:pt idx="38">
                  <c:v>363.88</c:v>
                </c:pt>
                <c:pt idx="39">
                  <c:v>366.84</c:v>
                </c:pt>
                <c:pt idx="40">
                  <c:v>368.54</c:v>
                </c:pt>
                <c:pt idx="41">
                  <c:v>369.71</c:v>
                </c:pt>
                <c:pt idx="42">
                  <c:v>371.32</c:v>
                </c:pt>
                <c:pt idx="43">
                  <c:v>373.45</c:v>
                </c:pt>
                <c:pt idx="44">
                  <c:v>375.98</c:v>
                </c:pt>
                <c:pt idx="45">
                  <c:v>377.7</c:v>
                </c:pt>
                <c:pt idx="46">
                  <c:v>379.98</c:v>
                </c:pt>
                <c:pt idx="47">
                  <c:v>382.09</c:v>
                </c:pt>
                <c:pt idx="48">
                  <c:v>384.02</c:v>
                </c:pt>
                <c:pt idx="49">
                  <c:v>385.83</c:v>
                </c:pt>
                <c:pt idx="50">
                  <c:v>387.64</c:v>
                </c:pt>
                <c:pt idx="51">
                  <c:v>390.1</c:v>
                </c:pt>
                <c:pt idx="52">
                  <c:v>391.85</c:v>
                </c:pt>
                <c:pt idx="53">
                  <c:v>394.06</c:v>
                </c:pt>
                <c:pt idx="54">
                  <c:v>396.74</c:v>
                </c:pt>
                <c:pt idx="55">
                  <c:v>398.81</c:v>
                </c:pt>
                <c:pt idx="56">
                  <c:v>401.01</c:v>
                </c:pt>
                <c:pt idx="57">
                  <c:v>404.41</c:v>
                </c:pt>
                <c:pt idx="58">
                  <c:v>406.76</c:v>
                </c:pt>
                <c:pt idx="59">
                  <c:v>408.72</c:v>
                </c:pt>
                <c:pt idx="60">
                  <c:v>411.65</c:v>
                </c:pt>
                <c:pt idx="61">
                  <c:v>414.21</c:v>
                </c:pt>
                <c:pt idx="62">
                  <c:v>416.41</c:v>
                </c:pt>
                <c:pt idx="63">
                  <c:v>418.53</c:v>
                </c:pt>
                <c:pt idx="64">
                  <c:v>421.08</c:v>
                </c:pt>
                <c:pt idx="65">
                  <c:v>424.61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1B-1A40-99AE-3BE510EF4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555503"/>
        <c:axId val="1431557215"/>
      </c:scatterChart>
      <c:scatterChart>
        <c:scatterStyle val="smoothMarker"/>
        <c:varyColors val="0"/>
        <c:ser>
          <c:idx val="1"/>
          <c:order val="1"/>
          <c:tx>
            <c:v>2nd Order Centered Difference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'Question 3 a'!$B$2:$B$67</c:f>
              <c:numCache>
                <c:formatCode>General</c:formatCode>
                <c:ptCount val="66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2018</c:v>
                </c:pt>
                <c:pt idx="60">
                  <c:v>2019</c:v>
                </c:pt>
                <c:pt idx="61">
                  <c:v>2020</c:v>
                </c:pt>
                <c:pt idx="62">
                  <c:v>2021</c:v>
                </c:pt>
                <c:pt idx="63">
                  <c:v>2022</c:v>
                </c:pt>
                <c:pt idx="64">
                  <c:v>2023</c:v>
                </c:pt>
                <c:pt idx="65">
                  <c:v>2024</c:v>
                </c:pt>
              </c:numCache>
            </c:numRef>
          </c:xVal>
          <c:yVal>
            <c:numRef>
              <c:f>'Question 3 a'!$D$2:$D$67</c:f>
              <c:numCache>
                <c:formatCode>0.00000</c:formatCode>
                <c:ptCount val="66"/>
                <c:pt idx="1">
                  <c:v>0.82999999999998408</c:v>
                </c:pt>
                <c:pt idx="2">
                  <c:v>0.76999999999998181</c:v>
                </c:pt>
                <c:pt idx="3">
                  <c:v>0.67500000000001137</c:v>
                </c:pt>
                <c:pt idx="4">
                  <c:v>0.58500000000000796</c:v>
                </c:pt>
                <c:pt idx="5">
                  <c:v>0.52500000000000568</c:v>
                </c:pt>
                <c:pt idx="6">
                  <c:v>0.875</c:v>
                </c:pt>
                <c:pt idx="7">
                  <c:v>1.0699999999999932</c:v>
                </c:pt>
                <c:pt idx="8">
                  <c:v>0.84000000000000341</c:v>
                </c:pt>
                <c:pt idx="9">
                  <c:v>1.2199999999999989</c:v>
                </c:pt>
                <c:pt idx="10">
                  <c:v>1.3149999999999977</c:v>
                </c:pt>
                <c:pt idx="11">
                  <c:v>0.84999999999999432</c:v>
                </c:pt>
                <c:pt idx="12">
                  <c:v>0.88999999999998636</c:v>
                </c:pt>
                <c:pt idx="13">
                  <c:v>1.6800000000000068</c:v>
                </c:pt>
                <c:pt idx="14">
                  <c:v>1.3650000000000091</c:v>
                </c:pt>
                <c:pt idx="15">
                  <c:v>0.72499999999999432</c:v>
                </c:pt>
                <c:pt idx="16">
                  <c:v>0.91999999999998749</c:v>
                </c:pt>
                <c:pt idx="17">
                  <c:v>1.3549999999999898</c:v>
                </c:pt>
                <c:pt idx="18">
                  <c:v>1.6900000000000261</c:v>
                </c:pt>
                <c:pt idx="19">
                  <c:v>1.5</c:v>
                </c:pt>
                <c:pt idx="20">
                  <c:v>1.6749999999999829</c:v>
                </c:pt>
                <c:pt idx="21">
                  <c:v>1.6400000000000148</c:v>
                </c:pt>
                <c:pt idx="22">
                  <c:v>1.3600000000000136</c:v>
                </c:pt>
                <c:pt idx="23">
                  <c:v>1.5149999999999864</c:v>
                </c:pt>
                <c:pt idx="24">
                  <c:v>1.6949999999999932</c:v>
                </c:pt>
                <c:pt idx="25">
                  <c:v>1.6000000000000227</c:v>
                </c:pt>
                <c:pt idx="26">
                  <c:v>1.3700000000000045</c:v>
                </c:pt>
                <c:pt idx="27">
                  <c:v>1.4799999999999898</c:v>
                </c:pt>
                <c:pt idx="28">
                  <c:v>2.039999999999992</c:v>
                </c:pt>
                <c:pt idx="29">
                  <c:v>1.9449999999999932</c:v>
                </c:pt>
                <c:pt idx="30">
                  <c:v>1.3799999999999955</c:v>
                </c:pt>
                <c:pt idx="31">
                  <c:v>1.25</c:v>
                </c:pt>
                <c:pt idx="32">
                  <c:v>1.0450000000000159</c:v>
                </c:pt>
                <c:pt idx="33">
                  <c:v>0.75499999999999545</c:v>
                </c:pt>
                <c:pt idx="34">
                  <c:v>1.2099999999999795</c:v>
                </c:pt>
                <c:pt idx="35">
                  <c:v>1.8800000000000239</c:v>
                </c:pt>
                <c:pt idx="36">
                  <c:v>1.8900000000000148</c:v>
                </c:pt>
                <c:pt idx="37">
                  <c:v>1.4549999999999841</c:v>
                </c:pt>
                <c:pt idx="38">
                  <c:v>2.0499999999999829</c:v>
                </c:pt>
                <c:pt idx="39">
                  <c:v>2.3300000000000125</c:v>
                </c:pt>
                <c:pt idx="40">
                  <c:v>1.4350000000000023</c:v>
                </c:pt>
                <c:pt idx="41">
                  <c:v>1.3899999999999864</c:v>
                </c:pt>
                <c:pt idx="42">
                  <c:v>1.8700000000000045</c:v>
                </c:pt>
                <c:pt idx="43">
                  <c:v>2.3300000000000125</c:v>
                </c:pt>
                <c:pt idx="44">
                  <c:v>2.125</c:v>
                </c:pt>
                <c:pt idx="45">
                  <c:v>2</c:v>
                </c:pt>
                <c:pt idx="46">
                  <c:v>2.1949999999999932</c:v>
                </c:pt>
                <c:pt idx="47">
                  <c:v>2.0199999999999818</c:v>
                </c:pt>
                <c:pt idx="48">
                  <c:v>1.8700000000000045</c:v>
                </c:pt>
                <c:pt idx="49">
                  <c:v>1.8100000000000023</c:v>
                </c:pt>
                <c:pt idx="50">
                  <c:v>2.1350000000000193</c:v>
                </c:pt>
                <c:pt idx="51">
                  <c:v>2.1050000000000182</c:v>
                </c:pt>
                <c:pt idx="52">
                  <c:v>1.9799999999999898</c:v>
                </c:pt>
                <c:pt idx="53">
                  <c:v>2.4449999999999932</c:v>
                </c:pt>
                <c:pt idx="54">
                  <c:v>2.375</c:v>
                </c:pt>
                <c:pt idx="55">
                  <c:v>2.1349999999999909</c:v>
                </c:pt>
                <c:pt idx="56">
                  <c:v>2.8000000000000114</c:v>
                </c:pt>
                <c:pt idx="57">
                  <c:v>2.875</c:v>
                </c:pt>
                <c:pt idx="58">
                  <c:v>2.1550000000000011</c:v>
                </c:pt>
                <c:pt idx="59">
                  <c:v>2.4449999999999932</c:v>
                </c:pt>
                <c:pt idx="60">
                  <c:v>2.7449999999999761</c:v>
                </c:pt>
                <c:pt idx="61">
                  <c:v>2.3800000000000239</c:v>
                </c:pt>
                <c:pt idx="62">
                  <c:v>2.1599999999999966</c:v>
                </c:pt>
                <c:pt idx="63">
                  <c:v>2.3349999999999795</c:v>
                </c:pt>
                <c:pt idx="64">
                  <c:v>3.0400000000000205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1B-1A40-99AE-3BE510EF4A9C}"/>
            </c:ext>
          </c:extLst>
        </c:ser>
        <c:ser>
          <c:idx val="2"/>
          <c:order val="2"/>
          <c:tx>
            <c:v>4th Order Centered Difference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'Question 3 a'!$B$2:$B$67</c:f>
              <c:numCache>
                <c:formatCode>General</c:formatCode>
                <c:ptCount val="66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2018</c:v>
                </c:pt>
                <c:pt idx="60">
                  <c:v>2019</c:v>
                </c:pt>
                <c:pt idx="61">
                  <c:v>2020</c:v>
                </c:pt>
                <c:pt idx="62">
                  <c:v>2021</c:v>
                </c:pt>
                <c:pt idx="63">
                  <c:v>2022</c:v>
                </c:pt>
                <c:pt idx="64">
                  <c:v>2023</c:v>
                </c:pt>
                <c:pt idx="65">
                  <c:v>2024</c:v>
                </c:pt>
              </c:numCache>
            </c:numRef>
          </c:xVal>
          <c:yVal>
            <c:numRef>
              <c:f>'Question 3 a'!$E$2:$E$67</c:f>
              <c:numCache>
                <c:formatCode>0.00000</c:formatCode>
                <c:ptCount val="66"/>
                <c:pt idx="2">
                  <c:v>0.77583333333329085</c:v>
                </c:pt>
                <c:pt idx="3">
                  <c:v>0.674166666666693</c:v>
                </c:pt>
                <c:pt idx="4">
                  <c:v>0.58000000000001251</c:v>
                </c:pt>
                <c:pt idx="5">
                  <c:v>0.45666666666668237</c:v>
                </c:pt>
                <c:pt idx="6">
                  <c:v>0.9008333333333477</c:v>
                </c:pt>
                <c:pt idx="7">
                  <c:v>1.1408333333333094</c:v>
                </c:pt>
                <c:pt idx="8">
                  <c:v>0.73833333333334872</c:v>
                </c:pt>
                <c:pt idx="9">
                  <c:v>1.2675000000000125</c:v>
                </c:pt>
                <c:pt idx="10">
                  <c:v>1.4083333333333172</c:v>
                </c:pt>
                <c:pt idx="11">
                  <c:v>0.76583333333332371</c:v>
                </c:pt>
                <c:pt idx="12">
                  <c:v>0.76499999999999579</c:v>
                </c:pt>
                <c:pt idx="13">
                  <c:v>1.8641666666666719</c:v>
                </c:pt>
                <c:pt idx="14">
                  <c:v>1.4191666666666691</c:v>
                </c:pt>
                <c:pt idx="15">
                  <c:v>0.58583333333334531</c:v>
                </c:pt>
                <c:pt idx="16">
                  <c:v>0.8799999999999718</c:v>
                </c:pt>
                <c:pt idx="17">
                  <c:v>1.371666666666665</c:v>
                </c:pt>
                <c:pt idx="18">
                  <c:v>1.7775000000000223</c:v>
                </c:pt>
                <c:pt idx="19">
                  <c:v>1.439166666666684</c:v>
                </c:pt>
                <c:pt idx="20">
                  <c:v>1.7099999999999842</c:v>
                </c:pt>
                <c:pt idx="21">
                  <c:v>1.6808333333333536</c:v>
                </c:pt>
                <c:pt idx="22">
                  <c:v>1.2875000000000085</c:v>
                </c:pt>
                <c:pt idx="23">
                  <c:v>1.5108333333333235</c:v>
                </c:pt>
                <c:pt idx="24">
                  <c:v>1.7408333333333321</c:v>
                </c:pt>
                <c:pt idx="25">
                  <c:v>1.6225000000000211</c:v>
                </c:pt>
                <c:pt idx="26">
                  <c:v>1.3133333333333421</c:v>
                </c:pt>
                <c:pt idx="27">
                  <c:v>1.4049999999999823</c:v>
                </c:pt>
                <c:pt idx="28">
                  <c:v>2.1491666666666731</c:v>
                </c:pt>
                <c:pt idx="29">
                  <c:v>2.0233333333333405</c:v>
                </c:pt>
                <c:pt idx="30">
                  <c:v>1.3075000000000092</c:v>
                </c:pt>
                <c:pt idx="31">
                  <c:v>1.2625000000000028</c:v>
                </c:pt>
                <c:pt idx="32">
                  <c:v>1.0591666666666839</c:v>
                </c:pt>
                <c:pt idx="33">
                  <c:v>0.63083333333332325</c:v>
                </c:pt>
                <c:pt idx="34">
                  <c:v>1.174166666666655</c:v>
                </c:pt>
                <c:pt idx="35">
                  <c:v>1.9900000000000517</c:v>
                </c:pt>
                <c:pt idx="36">
                  <c:v>1.9641666666666755</c:v>
                </c:pt>
                <c:pt idx="37">
                  <c:v>1.2833333333332984</c:v>
                </c:pt>
                <c:pt idx="38">
                  <c:v>2.1024999999999827</c:v>
                </c:pt>
                <c:pt idx="39">
                  <c:v>2.5258333333333476</c:v>
                </c:pt>
                <c:pt idx="40">
                  <c:v>1.2933333333333223</c:v>
                </c:pt>
                <c:pt idx="41">
                  <c:v>1.3024999999999949</c:v>
                </c:pt>
                <c:pt idx="42">
                  <c:v>1.8733333333333395</c:v>
                </c:pt>
                <c:pt idx="43">
                  <c:v>2.4408333333333636</c:v>
                </c:pt>
                <c:pt idx="44">
                  <c:v>2.1116666666666646</c:v>
                </c:pt>
                <c:pt idx="45">
                  <c:v>1.9466666666666537</c:v>
                </c:pt>
                <c:pt idx="46">
                  <c:v>2.2566666666666606</c:v>
                </c:pt>
                <c:pt idx="47">
                  <c:v>2.015833333333314</c:v>
                </c:pt>
                <c:pt idx="48">
                  <c:v>1.8550000000000182</c:v>
                </c:pt>
                <c:pt idx="49">
                  <c:v>1.7458333333333418</c:v>
                </c:pt>
                <c:pt idx="50">
                  <c:v>2.1941666666666984</c:v>
                </c:pt>
                <c:pt idx="51">
                  <c:v>2.1208333333333607</c:v>
                </c:pt>
                <c:pt idx="52">
                  <c:v>1.8816666666666322</c:v>
                </c:pt>
                <c:pt idx="53">
                  <c:v>2.534166666666664</c:v>
                </c:pt>
                <c:pt idx="54">
                  <c:v>2.4033333333333551</c:v>
                </c:pt>
                <c:pt idx="55">
                  <c:v>1.9841666666666669</c:v>
                </c:pt>
                <c:pt idx="56">
                  <c:v>2.898333333333369</c:v>
                </c:pt>
                <c:pt idx="57">
                  <c:v>3.007499999999979</c:v>
                </c:pt>
                <c:pt idx="58">
                  <c:v>1.9866666666666599</c:v>
                </c:pt>
                <c:pt idx="59">
                  <c:v>2.4433333333333231</c:v>
                </c:pt>
                <c:pt idx="60">
                  <c:v>2.855833333333313</c:v>
                </c:pt>
                <c:pt idx="61">
                  <c:v>2.3558333333333508</c:v>
                </c:pt>
                <c:pt idx="62">
                  <c:v>2.0941666666666663</c:v>
                </c:pt>
                <c:pt idx="63">
                  <c:v>2.2466666666666271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1B-1A40-99AE-3BE510EF4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173503"/>
        <c:axId val="944069199"/>
      </c:scatterChart>
      <c:valAx>
        <c:axId val="143155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557215"/>
        <c:crosses val="autoZero"/>
        <c:crossBetween val="midCat"/>
      </c:valAx>
      <c:valAx>
        <c:axId val="143155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  <a:r>
                  <a:rPr lang="en-US" baseline="0"/>
                  <a:t> Change in Mean Annual CO2 Concentraction per year</a:t>
                </a:r>
                <a:br>
                  <a:rPr lang="en-US" baseline="0"/>
                </a:br>
                <a:r>
                  <a:rPr lang="en-US" baseline="0"/>
                  <a:t>(ppm/year)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555503"/>
        <c:crosses val="autoZero"/>
        <c:crossBetween val="midCat"/>
      </c:valAx>
      <c:valAx>
        <c:axId val="944069199"/>
        <c:scaling>
          <c:orientation val="minMax"/>
        </c:scaling>
        <c:delete val="0"/>
        <c:axPos val="r"/>
        <c:numFmt formatCode="0.0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173503"/>
        <c:crosses val="max"/>
        <c:crossBetween val="midCat"/>
      </c:valAx>
      <c:valAx>
        <c:axId val="9441735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4069199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1st and 2nd Derivatives</a:t>
            </a:r>
            <a:r>
              <a:rPr lang="en-US" baseline="0"/>
              <a:t> of Mean Annual CO2 Concentrations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218047090295205E-2"/>
          <c:y val="8.5698322765754301E-2"/>
          <c:w val="0.92290511960326727"/>
          <c:h val="0.75386045610844066"/>
        </c:manualLayout>
      </c:layout>
      <c:scatterChart>
        <c:scatterStyle val="smoothMarker"/>
        <c:varyColors val="0"/>
        <c:ser>
          <c:idx val="0"/>
          <c:order val="0"/>
          <c:tx>
            <c:v>4th Order f"(x)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3 a'!$B$2:$B$67</c:f>
              <c:numCache>
                <c:formatCode>General</c:formatCode>
                <c:ptCount val="66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2018</c:v>
                </c:pt>
                <c:pt idx="60">
                  <c:v>2019</c:v>
                </c:pt>
                <c:pt idx="61">
                  <c:v>2020</c:v>
                </c:pt>
                <c:pt idx="62">
                  <c:v>2021</c:v>
                </c:pt>
                <c:pt idx="63">
                  <c:v>2022</c:v>
                </c:pt>
                <c:pt idx="64">
                  <c:v>2023</c:v>
                </c:pt>
                <c:pt idx="65">
                  <c:v>2024</c:v>
                </c:pt>
              </c:numCache>
            </c:numRef>
          </c:xVal>
          <c:yVal>
            <c:numRef>
              <c:f>'Question 3 a'!$G$4:$G$65</c:f>
              <c:numCache>
                <c:formatCode>0.0000</c:formatCode>
                <c:ptCount val="62"/>
                <c:pt idx="0">
                  <c:v>0.13250000000012582</c:v>
                </c:pt>
                <c:pt idx="1">
                  <c:v>-0.32916666666666572</c:v>
                </c:pt>
                <c:pt idx="2">
                  <c:v>0.14499999999993443</c:v>
                </c:pt>
                <c:pt idx="3">
                  <c:v>-0.32833333333331421</c:v>
                </c:pt>
                <c:pt idx="4">
                  <c:v>1.1224999999999266</c:v>
                </c:pt>
                <c:pt idx="5">
                  <c:v>-0.68750000000000944</c:v>
                </c:pt>
                <c:pt idx="6">
                  <c:v>5.5000000000058925E-2</c:v>
                </c:pt>
                <c:pt idx="7">
                  <c:v>0.85416666666665719</c:v>
                </c:pt>
                <c:pt idx="8">
                  <c:v>-0.61833333333331575</c:v>
                </c:pt>
                <c:pt idx="9">
                  <c:v>-0.48916666666664338</c:v>
                </c:pt>
                <c:pt idx="10">
                  <c:v>0.52833333333326016</c:v>
                </c:pt>
                <c:pt idx="11">
                  <c:v>1.3608333333334268</c:v>
                </c:pt>
                <c:pt idx="12">
                  <c:v>-2.120833333333342</c:v>
                </c:pt>
                <c:pt idx="13">
                  <c:v>0.64749999999996533</c:v>
                </c:pt>
                <c:pt idx="14">
                  <c:v>-0.15833333333335511</c:v>
                </c:pt>
                <c:pt idx="15">
                  <c:v>1.0850000000000033</c:v>
                </c:pt>
                <c:pt idx="16">
                  <c:v>-0.34416666666659051</c:v>
                </c:pt>
                <c:pt idx="17">
                  <c:v>-0.18416666666684023</c:v>
                </c:pt>
                <c:pt idx="18">
                  <c:v>0.63000000000012335</c:v>
                </c:pt>
                <c:pt idx="19">
                  <c:v>-0.69416666666659899</c:v>
                </c:pt>
                <c:pt idx="20">
                  <c:v>2.0833333333347543E-2</c:v>
                </c:pt>
                <c:pt idx="21">
                  <c:v>0.35749999999986432</c:v>
                </c:pt>
                <c:pt idx="22">
                  <c:v>5.2499999999999623E-2</c:v>
                </c:pt>
                <c:pt idx="23">
                  <c:v>-0.26583333333333786</c:v>
                </c:pt>
                <c:pt idx="24">
                  <c:v>-0.27333333333334053</c:v>
                </c:pt>
                <c:pt idx="25">
                  <c:v>0.47499999999997539</c:v>
                </c:pt>
                <c:pt idx="26">
                  <c:v>0.82916666666675576</c:v>
                </c:pt>
                <c:pt idx="27">
                  <c:v>-1.0500000000000587</c:v>
                </c:pt>
                <c:pt idx="28">
                  <c:v>-0.23083333333333655</c:v>
                </c:pt>
                <c:pt idx="29">
                  <c:v>5.5833333333306236E-2</c:v>
                </c:pt>
                <c:pt idx="30">
                  <c:v>-0.46416666666665662</c:v>
                </c:pt>
                <c:pt idx="31">
                  <c:v>-0.25416666666677185</c:v>
                </c:pt>
                <c:pt idx="32">
                  <c:v>1.2525000000000404</c:v>
                </c:pt>
                <c:pt idx="33">
                  <c:v>0.23333333333341955</c:v>
                </c:pt>
                <c:pt idx="34">
                  <c:v>-0.24916666666671952</c:v>
                </c:pt>
                <c:pt idx="35">
                  <c:v>-0.86666666666670744</c:v>
                </c:pt>
                <c:pt idx="36">
                  <c:v>2.280833333333343</c:v>
                </c:pt>
                <c:pt idx="37">
                  <c:v>-1.5774999999998915</c:v>
                </c:pt>
                <c:pt idx="38">
                  <c:v>-0.55000000000009663</c:v>
                </c:pt>
                <c:pt idx="39">
                  <c:v>0.5141666666667627</c:v>
                </c:pt>
                <c:pt idx="40">
                  <c:v>0.53666666666655283</c:v>
                </c:pt>
                <c:pt idx="41">
                  <c:v>0.49083333333336537</c:v>
                </c:pt>
                <c:pt idx="42">
                  <c:v>-1.0250000000001904</c:v>
                </c:pt>
                <c:pt idx="43">
                  <c:v>0.73500000000003729</c:v>
                </c:pt>
                <c:pt idx="44">
                  <c:v>-0.23000000000013188</c:v>
                </c:pt>
                <c:pt idx="45">
                  <c:v>-0.18583333333323537</c:v>
                </c:pt>
                <c:pt idx="46">
                  <c:v>-0.1249999999999621</c:v>
                </c:pt>
                <c:pt idx="47">
                  <c:v>-4.4166666666707023E-2</c:v>
                </c:pt>
                <c:pt idx="48">
                  <c:v>0.81750000000007128</c:v>
                </c:pt>
                <c:pt idx="49">
                  <c:v>-0.92083333333335327</c:v>
                </c:pt>
                <c:pt idx="50">
                  <c:v>0.55666666666671938</c:v>
                </c:pt>
                <c:pt idx="51">
                  <c:v>0.56083333333340113</c:v>
                </c:pt>
                <c:pt idx="52">
                  <c:v>-0.76166666666674132</c:v>
                </c:pt>
                <c:pt idx="53">
                  <c:v>0.10250000000007257</c:v>
                </c:pt>
                <c:pt idx="54">
                  <c:v>1.4766666666667447</c:v>
                </c:pt>
                <c:pt idx="55">
                  <c:v>-1.2925000000001365</c:v>
                </c:pt>
                <c:pt idx="56">
                  <c:v>-0.44833333333317188</c:v>
                </c:pt>
                <c:pt idx="57">
                  <c:v>1.1949999999999221</c:v>
                </c:pt>
                <c:pt idx="58">
                  <c:v>-0.482499999999978</c:v>
                </c:pt>
                <c:pt idx="59">
                  <c:v>-0.38249999999991741</c:v>
                </c:pt>
                <c:pt idx="60">
                  <c:v>-9.9166666666813327E-2</c:v>
                </c:pt>
                <c:pt idx="61">
                  <c:v>0.42666666666673808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E02-3E4A-871D-5B306BA7D301}"/>
            </c:ext>
          </c:extLst>
        </c:ser>
        <c:ser>
          <c:idx val="1"/>
          <c:order val="1"/>
          <c:tx>
            <c:v>2nd Order f"(x)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'Question 3 a'!$B$2:$B$67</c:f>
              <c:numCache>
                <c:formatCode>General</c:formatCode>
                <c:ptCount val="66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2018</c:v>
                </c:pt>
                <c:pt idx="60">
                  <c:v>2019</c:v>
                </c:pt>
                <c:pt idx="61">
                  <c:v>2020</c:v>
                </c:pt>
                <c:pt idx="62">
                  <c:v>2021</c:v>
                </c:pt>
                <c:pt idx="63">
                  <c:v>2022</c:v>
                </c:pt>
                <c:pt idx="64">
                  <c:v>2023</c:v>
                </c:pt>
                <c:pt idx="65">
                  <c:v>2024</c:v>
                </c:pt>
              </c:numCache>
            </c:numRef>
          </c:xVal>
          <c:yVal>
            <c:numRef>
              <c:f>'Question 3 a'!$F$3:$F$66</c:f>
              <c:numCache>
                <c:formatCode>0.0000</c:formatCode>
                <c:ptCount val="64"/>
                <c:pt idx="0">
                  <c:v>-0.20000000000004547</c:v>
                </c:pt>
                <c:pt idx="1">
                  <c:v>8.0000000000040927E-2</c:v>
                </c:pt>
                <c:pt idx="2">
                  <c:v>-0.26999999999998181</c:v>
                </c:pt>
                <c:pt idx="3">
                  <c:v>8.9999999999974989E-2</c:v>
                </c:pt>
                <c:pt idx="4">
                  <c:v>-0.20999999999997954</c:v>
                </c:pt>
                <c:pt idx="5">
                  <c:v>0.90999999999996817</c:v>
                </c:pt>
                <c:pt idx="6">
                  <c:v>-0.51999999999998181</c:v>
                </c:pt>
                <c:pt idx="7">
                  <c:v>6.0000000000002274E-2</c:v>
                </c:pt>
                <c:pt idx="8">
                  <c:v>0.69999999999998863</c:v>
                </c:pt>
                <c:pt idx="9">
                  <c:v>-0.50999999999999091</c:v>
                </c:pt>
                <c:pt idx="10">
                  <c:v>-0.42000000000001592</c:v>
                </c:pt>
                <c:pt idx="11">
                  <c:v>0.5</c:v>
                </c:pt>
                <c:pt idx="12">
                  <c:v>1.0800000000000409</c:v>
                </c:pt>
                <c:pt idx="13">
                  <c:v>-1.7100000000000364</c:v>
                </c:pt>
                <c:pt idx="14">
                  <c:v>0.43000000000000682</c:v>
                </c:pt>
                <c:pt idx="15">
                  <c:v>-4.0000000000020464E-2</c:v>
                </c:pt>
                <c:pt idx="16">
                  <c:v>0.91000000000002501</c:v>
                </c:pt>
                <c:pt idx="17">
                  <c:v>-0.23999999999995225</c:v>
                </c:pt>
                <c:pt idx="18">
                  <c:v>-0.14000000000010004</c:v>
                </c:pt>
                <c:pt idx="19">
                  <c:v>0.49000000000006594</c:v>
                </c:pt>
                <c:pt idx="20">
                  <c:v>-0.56000000000000227</c:v>
                </c:pt>
                <c:pt idx="21">
                  <c:v>0</c:v>
                </c:pt>
                <c:pt idx="22">
                  <c:v>0.30999999999994543</c:v>
                </c:pt>
                <c:pt idx="23">
                  <c:v>5.0000000000068212E-2</c:v>
                </c:pt>
                <c:pt idx="24">
                  <c:v>-0.24000000000000909</c:v>
                </c:pt>
                <c:pt idx="25">
                  <c:v>-0.22000000000002728</c:v>
                </c:pt>
                <c:pt idx="26">
                  <c:v>0.43999999999999773</c:v>
                </c:pt>
                <c:pt idx="27">
                  <c:v>0.68000000000000682</c:v>
                </c:pt>
                <c:pt idx="28">
                  <c:v>-0.87000000000000455</c:v>
                </c:pt>
                <c:pt idx="29">
                  <c:v>-0.25999999999999091</c:v>
                </c:pt>
                <c:pt idx="30">
                  <c:v>0</c:v>
                </c:pt>
                <c:pt idx="31">
                  <c:v>-0.40999999999996817</c:v>
                </c:pt>
                <c:pt idx="32">
                  <c:v>-0.17000000000007276</c:v>
                </c:pt>
                <c:pt idx="33">
                  <c:v>1.0800000000000409</c:v>
                </c:pt>
                <c:pt idx="34">
                  <c:v>0.26000000000004775</c:v>
                </c:pt>
                <c:pt idx="35">
                  <c:v>-0.24000000000006594</c:v>
                </c:pt>
                <c:pt idx="36">
                  <c:v>-0.62999999999999545</c:v>
                </c:pt>
                <c:pt idx="37">
                  <c:v>1.8199999999999932</c:v>
                </c:pt>
                <c:pt idx="38">
                  <c:v>-1.2599999999999341</c:v>
                </c:pt>
                <c:pt idx="39">
                  <c:v>-0.5300000000000864</c:v>
                </c:pt>
                <c:pt idx="40">
                  <c:v>0.44000000000005457</c:v>
                </c:pt>
                <c:pt idx="41">
                  <c:v>0.51999999999998181</c:v>
                </c:pt>
                <c:pt idx="42">
                  <c:v>0.40000000000003411</c:v>
                </c:pt>
                <c:pt idx="43">
                  <c:v>-0.81000000000005912</c:v>
                </c:pt>
                <c:pt idx="44">
                  <c:v>0.56000000000005912</c:v>
                </c:pt>
                <c:pt idx="45">
                  <c:v>-0.17000000000007276</c:v>
                </c:pt>
                <c:pt idx="46">
                  <c:v>-0.17999999999994998</c:v>
                </c:pt>
                <c:pt idx="47">
                  <c:v>-0.12000000000000455</c:v>
                </c:pt>
                <c:pt idx="48">
                  <c:v>0</c:v>
                </c:pt>
                <c:pt idx="49">
                  <c:v>0.65000000000003411</c:v>
                </c:pt>
                <c:pt idx="50">
                  <c:v>-0.71000000000003638</c:v>
                </c:pt>
                <c:pt idx="51">
                  <c:v>0.45999999999997954</c:v>
                </c:pt>
                <c:pt idx="52">
                  <c:v>0.47000000000002728</c:v>
                </c:pt>
                <c:pt idx="53">
                  <c:v>-0.61000000000001364</c:v>
                </c:pt>
                <c:pt idx="54">
                  <c:v>0.12999999999999545</c:v>
                </c:pt>
                <c:pt idx="55">
                  <c:v>1.2000000000000455</c:v>
                </c:pt>
                <c:pt idx="56">
                  <c:v>-1.0500000000000682</c:v>
                </c:pt>
                <c:pt idx="57">
                  <c:v>-0.38999999999992951</c:v>
                </c:pt>
                <c:pt idx="58">
                  <c:v>0.9699999999999136</c:v>
                </c:pt>
                <c:pt idx="59">
                  <c:v>-0.3699999999999477</c:v>
                </c:pt>
                <c:pt idx="60">
                  <c:v>-0.3599999999999568</c:v>
                </c:pt>
                <c:pt idx="61">
                  <c:v>-8.0000000000097771E-2</c:v>
                </c:pt>
                <c:pt idx="62">
                  <c:v>0.43000000000006366</c:v>
                </c:pt>
                <c:pt idx="63">
                  <c:v>0.98000000000001819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E02-3E4A-871D-5B306BA7D301}"/>
            </c:ext>
          </c:extLst>
        </c:ser>
        <c:ser>
          <c:idx val="2"/>
          <c:order val="2"/>
          <c:tx>
            <c:v>4th Order f'(x)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'Question 3 a'!$B$2:$B$67</c:f>
              <c:numCache>
                <c:formatCode>General</c:formatCode>
                <c:ptCount val="66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2018</c:v>
                </c:pt>
                <c:pt idx="60">
                  <c:v>2019</c:v>
                </c:pt>
                <c:pt idx="61">
                  <c:v>2020</c:v>
                </c:pt>
                <c:pt idx="62">
                  <c:v>2021</c:v>
                </c:pt>
                <c:pt idx="63">
                  <c:v>2022</c:v>
                </c:pt>
                <c:pt idx="64">
                  <c:v>2023</c:v>
                </c:pt>
                <c:pt idx="65">
                  <c:v>2024</c:v>
                </c:pt>
              </c:numCache>
            </c:numRef>
          </c:xVal>
          <c:yVal>
            <c:numRef>
              <c:f>'Question 3 a'!$E$4:$E$65</c:f>
              <c:numCache>
                <c:formatCode>0.00000</c:formatCode>
                <c:ptCount val="62"/>
                <c:pt idx="0">
                  <c:v>0.77583333333329085</c:v>
                </c:pt>
                <c:pt idx="1">
                  <c:v>0.674166666666693</c:v>
                </c:pt>
                <c:pt idx="2">
                  <c:v>0.58000000000001251</c:v>
                </c:pt>
                <c:pt idx="3">
                  <c:v>0.45666666666668237</c:v>
                </c:pt>
                <c:pt idx="4">
                  <c:v>0.9008333333333477</c:v>
                </c:pt>
                <c:pt idx="5">
                  <c:v>1.1408333333333094</c:v>
                </c:pt>
                <c:pt idx="6">
                  <c:v>0.73833333333334872</c:v>
                </c:pt>
                <c:pt idx="7">
                  <c:v>1.2675000000000125</c:v>
                </c:pt>
                <c:pt idx="8">
                  <c:v>1.4083333333333172</c:v>
                </c:pt>
                <c:pt idx="9">
                  <c:v>0.76583333333332371</c:v>
                </c:pt>
                <c:pt idx="10">
                  <c:v>0.76499999999999579</c:v>
                </c:pt>
                <c:pt idx="11">
                  <c:v>1.8641666666666719</c:v>
                </c:pt>
                <c:pt idx="12">
                  <c:v>1.4191666666666691</c:v>
                </c:pt>
                <c:pt idx="13">
                  <c:v>0.58583333333334531</c:v>
                </c:pt>
                <c:pt idx="14">
                  <c:v>0.8799999999999718</c:v>
                </c:pt>
                <c:pt idx="15">
                  <c:v>1.371666666666665</c:v>
                </c:pt>
                <c:pt idx="16">
                  <c:v>1.7775000000000223</c:v>
                </c:pt>
                <c:pt idx="17">
                  <c:v>1.439166666666684</c:v>
                </c:pt>
                <c:pt idx="18">
                  <c:v>1.7099999999999842</c:v>
                </c:pt>
                <c:pt idx="19">
                  <c:v>1.6808333333333536</c:v>
                </c:pt>
                <c:pt idx="20">
                  <c:v>1.2875000000000085</c:v>
                </c:pt>
                <c:pt idx="21">
                  <c:v>1.5108333333333235</c:v>
                </c:pt>
                <c:pt idx="22">
                  <c:v>1.7408333333333321</c:v>
                </c:pt>
                <c:pt idx="23">
                  <c:v>1.6225000000000211</c:v>
                </c:pt>
                <c:pt idx="24">
                  <c:v>1.3133333333333421</c:v>
                </c:pt>
                <c:pt idx="25">
                  <c:v>1.4049999999999823</c:v>
                </c:pt>
                <c:pt idx="26">
                  <c:v>2.1491666666666731</c:v>
                </c:pt>
                <c:pt idx="27">
                  <c:v>2.0233333333333405</c:v>
                </c:pt>
                <c:pt idx="28">
                  <c:v>1.3075000000000092</c:v>
                </c:pt>
                <c:pt idx="29">
                  <c:v>1.2625000000000028</c:v>
                </c:pt>
                <c:pt idx="30">
                  <c:v>1.0591666666666839</c:v>
                </c:pt>
                <c:pt idx="31">
                  <c:v>0.63083333333332325</c:v>
                </c:pt>
                <c:pt idx="32">
                  <c:v>1.174166666666655</c:v>
                </c:pt>
                <c:pt idx="33">
                  <c:v>1.9900000000000517</c:v>
                </c:pt>
                <c:pt idx="34">
                  <c:v>1.9641666666666755</c:v>
                </c:pt>
                <c:pt idx="35">
                  <c:v>1.2833333333332984</c:v>
                </c:pt>
                <c:pt idx="36">
                  <c:v>2.1024999999999827</c:v>
                </c:pt>
                <c:pt idx="37">
                  <c:v>2.5258333333333476</c:v>
                </c:pt>
                <c:pt idx="38">
                  <c:v>1.2933333333333223</c:v>
                </c:pt>
                <c:pt idx="39">
                  <c:v>1.3024999999999949</c:v>
                </c:pt>
                <c:pt idx="40">
                  <c:v>1.8733333333333395</c:v>
                </c:pt>
                <c:pt idx="41">
                  <c:v>2.4408333333333636</c:v>
                </c:pt>
                <c:pt idx="42">
                  <c:v>2.1116666666666646</c:v>
                </c:pt>
                <c:pt idx="43">
                  <c:v>1.9466666666666537</c:v>
                </c:pt>
                <c:pt idx="44">
                  <c:v>2.2566666666666606</c:v>
                </c:pt>
                <c:pt idx="45">
                  <c:v>2.015833333333314</c:v>
                </c:pt>
                <c:pt idx="46">
                  <c:v>1.8550000000000182</c:v>
                </c:pt>
                <c:pt idx="47">
                  <c:v>1.7458333333333418</c:v>
                </c:pt>
                <c:pt idx="48">
                  <c:v>2.1941666666666984</c:v>
                </c:pt>
                <c:pt idx="49">
                  <c:v>2.1208333333333607</c:v>
                </c:pt>
                <c:pt idx="50">
                  <c:v>1.8816666666666322</c:v>
                </c:pt>
                <c:pt idx="51">
                  <c:v>2.534166666666664</c:v>
                </c:pt>
                <c:pt idx="52">
                  <c:v>2.4033333333333551</c:v>
                </c:pt>
                <c:pt idx="53">
                  <c:v>1.9841666666666669</c:v>
                </c:pt>
                <c:pt idx="54">
                  <c:v>2.898333333333369</c:v>
                </c:pt>
                <c:pt idx="55">
                  <c:v>3.007499999999979</c:v>
                </c:pt>
                <c:pt idx="56">
                  <c:v>1.9866666666666599</c:v>
                </c:pt>
                <c:pt idx="57">
                  <c:v>2.4433333333333231</c:v>
                </c:pt>
                <c:pt idx="58">
                  <c:v>2.855833333333313</c:v>
                </c:pt>
                <c:pt idx="59">
                  <c:v>2.3558333333333508</c:v>
                </c:pt>
                <c:pt idx="60">
                  <c:v>2.0941666666666663</c:v>
                </c:pt>
                <c:pt idx="61">
                  <c:v>2.2466666666666271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E02-3E4A-871D-5B306BA7D301}"/>
            </c:ext>
          </c:extLst>
        </c:ser>
        <c:ser>
          <c:idx val="3"/>
          <c:order val="3"/>
          <c:tx>
            <c:v>2nd Order f'(x)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'Question 3 a'!$B$2:$B$67</c:f>
              <c:numCache>
                <c:formatCode>General</c:formatCode>
                <c:ptCount val="66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2018</c:v>
                </c:pt>
                <c:pt idx="60">
                  <c:v>2019</c:v>
                </c:pt>
                <c:pt idx="61">
                  <c:v>2020</c:v>
                </c:pt>
                <c:pt idx="62">
                  <c:v>2021</c:v>
                </c:pt>
                <c:pt idx="63">
                  <c:v>2022</c:v>
                </c:pt>
                <c:pt idx="64">
                  <c:v>2023</c:v>
                </c:pt>
                <c:pt idx="65">
                  <c:v>2024</c:v>
                </c:pt>
              </c:numCache>
            </c:numRef>
          </c:xVal>
          <c:yVal>
            <c:numRef>
              <c:f>'Question 3 a'!$D$3:$D$66</c:f>
              <c:numCache>
                <c:formatCode>0.00000</c:formatCode>
                <c:ptCount val="64"/>
                <c:pt idx="0">
                  <c:v>0.82999999999998408</c:v>
                </c:pt>
                <c:pt idx="1">
                  <c:v>0.76999999999998181</c:v>
                </c:pt>
                <c:pt idx="2">
                  <c:v>0.67500000000001137</c:v>
                </c:pt>
                <c:pt idx="3">
                  <c:v>0.58500000000000796</c:v>
                </c:pt>
                <c:pt idx="4">
                  <c:v>0.52500000000000568</c:v>
                </c:pt>
                <c:pt idx="5">
                  <c:v>0.875</c:v>
                </c:pt>
                <c:pt idx="6">
                  <c:v>1.0699999999999932</c:v>
                </c:pt>
                <c:pt idx="7">
                  <c:v>0.84000000000000341</c:v>
                </c:pt>
                <c:pt idx="8">
                  <c:v>1.2199999999999989</c:v>
                </c:pt>
                <c:pt idx="9">
                  <c:v>1.3149999999999977</c:v>
                </c:pt>
                <c:pt idx="10">
                  <c:v>0.84999999999999432</c:v>
                </c:pt>
                <c:pt idx="11">
                  <c:v>0.88999999999998636</c:v>
                </c:pt>
                <c:pt idx="12">
                  <c:v>1.6800000000000068</c:v>
                </c:pt>
                <c:pt idx="13">
                  <c:v>1.3650000000000091</c:v>
                </c:pt>
                <c:pt idx="14">
                  <c:v>0.72499999999999432</c:v>
                </c:pt>
                <c:pt idx="15">
                  <c:v>0.91999999999998749</c:v>
                </c:pt>
                <c:pt idx="16">
                  <c:v>1.3549999999999898</c:v>
                </c:pt>
                <c:pt idx="17">
                  <c:v>1.6900000000000261</c:v>
                </c:pt>
                <c:pt idx="18">
                  <c:v>1.5</c:v>
                </c:pt>
                <c:pt idx="19">
                  <c:v>1.6749999999999829</c:v>
                </c:pt>
                <c:pt idx="20">
                  <c:v>1.6400000000000148</c:v>
                </c:pt>
                <c:pt idx="21">
                  <c:v>1.3600000000000136</c:v>
                </c:pt>
                <c:pt idx="22">
                  <c:v>1.5149999999999864</c:v>
                </c:pt>
                <c:pt idx="23">
                  <c:v>1.6949999999999932</c:v>
                </c:pt>
                <c:pt idx="24">
                  <c:v>1.6000000000000227</c:v>
                </c:pt>
                <c:pt idx="25">
                  <c:v>1.3700000000000045</c:v>
                </c:pt>
                <c:pt idx="26">
                  <c:v>1.4799999999999898</c:v>
                </c:pt>
                <c:pt idx="27">
                  <c:v>2.039999999999992</c:v>
                </c:pt>
                <c:pt idx="28">
                  <c:v>1.9449999999999932</c:v>
                </c:pt>
                <c:pt idx="29">
                  <c:v>1.3799999999999955</c:v>
                </c:pt>
                <c:pt idx="30">
                  <c:v>1.25</c:v>
                </c:pt>
                <c:pt idx="31">
                  <c:v>1.0450000000000159</c:v>
                </c:pt>
                <c:pt idx="32">
                  <c:v>0.75499999999999545</c:v>
                </c:pt>
                <c:pt idx="33">
                  <c:v>1.2099999999999795</c:v>
                </c:pt>
                <c:pt idx="34">
                  <c:v>1.8800000000000239</c:v>
                </c:pt>
                <c:pt idx="35">
                  <c:v>1.8900000000000148</c:v>
                </c:pt>
                <c:pt idx="36">
                  <c:v>1.4549999999999841</c:v>
                </c:pt>
                <c:pt idx="37">
                  <c:v>2.0499999999999829</c:v>
                </c:pt>
                <c:pt idx="38">
                  <c:v>2.3300000000000125</c:v>
                </c:pt>
                <c:pt idx="39">
                  <c:v>1.4350000000000023</c:v>
                </c:pt>
                <c:pt idx="40">
                  <c:v>1.3899999999999864</c:v>
                </c:pt>
                <c:pt idx="41">
                  <c:v>1.8700000000000045</c:v>
                </c:pt>
                <c:pt idx="42">
                  <c:v>2.3300000000000125</c:v>
                </c:pt>
                <c:pt idx="43">
                  <c:v>2.125</c:v>
                </c:pt>
                <c:pt idx="44">
                  <c:v>2</c:v>
                </c:pt>
                <c:pt idx="45">
                  <c:v>2.1949999999999932</c:v>
                </c:pt>
                <c:pt idx="46">
                  <c:v>2.0199999999999818</c:v>
                </c:pt>
                <c:pt idx="47">
                  <c:v>1.8700000000000045</c:v>
                </c:pt>
                <c:pt idx="48">
                  <c:v>1.8100000000000023</c:v>
                </c:pt>
                <c:pt idx="49">
                  <c:v>2.1350000000000193</c:v>
                </c:pt>
                <c:pt idx="50">
                  <c:v>2.1050000000000182</c:v>
                </c:pt>
                <c:pt idx="51">
                  <c:v>1.9799999999999898</c:v>
                </c:pt>
                <c:pt idx="52">
                  <c:v>2.4449999999999932</c:v>
                </c:pt>
                <c:pt idx="53">
                  <c:v>2.375</c:v>
                </c:pt>
                <c:pt idx="54">
                  <c:v>2.1349999999999909</c:v>
                </c:pt>
                <c:pt idx="55">
                  <c:v>2.8000000000000114</c:v>
                </c:pt>
                <c:pt idx="56">
                  <c:v>2.875</c:v>
                </c:pt>
                <c:pt idx="57">
                  <c:v>2.1550000000000011</c:v>
                </c:pt>
                <c:pt idx="58">
                  <c:v>2.4449999999999932</c:v>
                </c:pt>
                <c:pt idx="59">
                  <c:v>2.7449999999999761</c:v>
                </c:pt>
                <c:pt idx="60">
                  <c:v>2.3800000000000239</c:v>
                </c:pt>
                <c:pt idx="61">
                  <c:v>2.1599999999999966</c:v>
                </c:pt>
                <c:pt idx="62">
                  <c:v>2.3349999999999795</c:v>
                </c:pt>
                <c:pt idx="63">
                  <c:v>3.0400000000000205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E02-3E4A-871D-5B306BA7D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711792"/>
        <c:axId val="469713504"/>
      </c:scatterChart>
      <c:valAx>
        <c:axId val="46971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13504"/>
        <c:crosses val="autoZero"/>
        <c:crossBetween val="midCat"/>
      </c:valAx>
      <c:valAx>
        <c:axId val="46971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  <a:r>
                  <a:rPr lang="en-US" baseline="0"/>
                  <a:t> of Derivative at Point Given by Centred Difference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11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254000</xdr:colOff>
      <xdr:row>49</xdr:row>
      <xdr:rowOff>31750</xdr:rowOff>
    </xdr:from>
    <xdr:to>
      <xdr:col>12</xdr:col>
      <xdr:colOff>756200</xdr:colOff>
      <xdr:row>70</xdr:row>
      <xdr:rowOff>164650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51BA3F-EABF-C56E-3113-F76D03402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63500</xdr:colOff>
      <xdr:row>6</xdr:row>
      <xdr:rowOff>49822</xdr:rowOff>
    </xdr:from>
    <xdr:to>
      <xdr:col>19</xdr:col>
      <xdr:colOff>254000</xdr:colOff>
      <xdr:row>32</xdr:row>
      <xdr:rowOff>68384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1AD99E-880C-28FD-7C46-8A3BE12EE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766885</xdr:colOff>
      <xdr:row>37</xdr:row>
      <xdr:rowOff>97693</xdr:rowOff>
    </xdr:from>
    <xdr:to>
      <xdr:col>21</xdr:col>
      <xdr:colOff>283309</xdr:colOff>
      <xdr:row>69</xdr:row>
      <xdr:rowOff>29308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FF56DB-D10D-1771-D9C8-BF1BDF909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"/>
  <sheetViews>
    <sheetView topLeftCell="A42" zoomScale="120" zoomScaleNormal="120" workbookViewId="0">
      <selection activeCell="U103" sqref="U103"/>
    </sheetView>
  </sheetViews>
  <sheetFormatPr baseColWidth="10" defaultColWidth="11.5" defaultRowHeight="13" x14ac:dyDescent="0.15"/>
  <sheetData>
    <row r="1" spans="1:3" ht="16" x14ac:dyDescent="0.25">
      <c r="A1" s="2" t="s">
        <v>0</v>
      </c>
      <c r="B1" s="1"/>
      <c r="C1" s="1"/>
    </row>
    <row r="2" spans="1:3" ht="16" x14ac:dyDescent="0.25">
      <c r="A2" s="2" t="s">
        <v>1</v>
      </c>
      <c r="B2" s="1"/>
      <c r="C2" s="1"/>
    </row>
    <row r="3" spans="1:3" ht="16" x14ac:dyDescent="0.25">
      <c r="A3" s="2" t="s">
        <v>2</v>
      </c>
      <c r="B3" s="1"/>
      <c r="C3" s="1"/>
    </row>
    <row r="4" spans="1:3" ht="16" x14ac:dyDescent="0.25">
      <c r="A4" s="2" t="s">
        <v>3</v>
      </c>
      <c r="B4" s="1"/>
      <c r="C4" s="1"/>
    </row>
    <row r="5" spans="1:3" ht="16" x14ac:dyDescent="0.25">
      <c r="A5" s="2" t="s">
        <v>4</v>
      </c>
      <c r="B5" s="1"/>
      <c r="C5" s="1"/>
    </row>
    <row r="6" spans="1:3" ht="16" x14ac:dyDescent="0.25">
      <c r="A6" s="2" t="s">
        <v>5</v>
      </c>
      <c r="B6" s="1"/>
      <c r="C6" s="1"/>
    </row>
    <row r="7" spans="1:3" ht="16" x14ac:dyDescent="0.25">
      <c r="A7" s="2" t="s">
        <v>6</v>
      </c>
      <c r="B7" s="1"/>
      <c r="C7" s="1"/>
    </row>
    <row r="8" spans="1:3" ht="16" x14ac:dyDescent="0.25">
      <c r="A8" s="2" t="s">
        <v>7</v>
      </c>
      <c r="B8" s="1"/>
      <c r="C8" s="1"/>
    </row>
    <row r="9" spans="1:3" ht="16" x14ac:dyDescent="0.25">
      <c r="A9" s="2" t="s">
        <v>8</v>
      </c>
      <c r="B9" s="1"/>
      <c r="C9" s="1"/>
    </row>
    <row r="10" spans="1:3" ht="16" x14ac:dyDescent="0.25">
      <c r="A10" s="2" t="s">
        <v>9</v>
      </c>
      <c r="B10" s="1"/>
      <c r="C10" s="1"/>
    </row>
    <row r="11" spans="1:3" ht="16" x14ac:dyDescent="0.25">
      <c r="A11" s="2" t="s">
        <v>10</v>
      </c>
      <c r="B11" s="1"/>
      <c r="C11" s="1"/>
    </row>
    <row r="12" spans="1:3" ht="16" x14ac:dyDescent="0.25">
      <c r="A12" s="2" t="s">
        <v>2</v>
      </c>
      <c r="B12" s="1"/>
      <c r="C12" s="1"/>
    </row>
    <row r="13" spans="1:3" ht="16" x14ac:dyDescent="0.25">
      <c r="A13" s="2" t="s">
        <v>2</v>
      </c>
      <c r="B13" s="1"/>
      <c r="C13" s="1"/>
    </row>
    <row r="14" spans="1:3" ht="16" x14ac:dyDescent="0.25">
      <c r="A14" s="2" t="s">
        <v>2</v>
      </c>
      <c r="B14" s="1"/>
      <c r="C14" s="1"/>
    </row>
    <row r="15" spans="1:3" ht="16" x14ac:dyDescent="0.25">
      <c r="A15" s="2" t="s">
        <v>11</v>
      </c>
      <c r="B15" s="1"/>
      <c r="C15" s="1"/>
    </row>
    <row r="16" spans="1:3" ht="16" x14ac:dyDescent="0.25">
      <c r="A16" s="2" t="s">
        <v>2</v>
      </c>
      <c r="B16" s="1"/>
      <c r="C16" s="1"/>
    </row>
    <row r="17" spans="1:3" ht="16" x14ac:dyDescent="0.25">
      <c r="A17" s="2" t="s">
        <v>32</v>
      </c>
      <c r="B17" s="1"/>
      <c r="C17" s="1"/>
    </row>
    <row r="18" spans="1:3" ht="16" x14ac:dyDescent="0.25">
      <c r="A18" s="2" t="s">
        <v>2</v>
      </c>
      <c r="B18" s="1"/>
      <c r="C18" s="1"/>
    </row>
    <row r="19" spans="1:3" ht="16" x14ac:dyDescent="0.25">
      <c r="A19" s="2" t="s">
        <v>2</v>
      </c>
      <c r="B19" s="1"/>
      <c r="C19" s="1"/>
    </row>
    <row r="20" spans="1:3" ht="16" x14ac:dyDescent="0.25">
      <c r="A20" s="2" t="s">
        <v>0</v>
      </c>
      <c r="B20" s="1"/>
      <c r="C20" s="1"/>
    </row>
    <row r="21" spans="1:3" ht="16" x14ac:dyDescent="0.25">
      <c r="A21" s="2" t="s">
        <v>2</v>
      </c>
      <c r="B21" s="1"/>
      <c r="C21" s="1"/>
    </row>
    <row r="22" spans="1:3" ht="16" x14ac:dyDescent="0.25">
      <c r="A22" s="2" t="s">
        <v>2</v>
      </c>
      <c r="B22" s="1"/>
      <c r="C22" s="1"/>
    </row>
    <row r="23" spans="1:3" ht="16" x14ac:dyDescent="0.25">
      <c r="A23" s="2" t="s">
        <v>12</v>
      </c>
      <c r="B23" s="1"/>
      <c r="C23" s="1"/>
    </row>
    <row r="24" spans="1:3" ht="16" x14ac:dyDescent="0.25">
      <c r="A24" s="2" t="s">
        <v>2</v>
      </c>
      <c r="B24" s="1"/>
      <c r="C24" s="1"/>
    </row>
    <row r="25" spans="1:3" ht="16" x14ac:dyDescent="0.25">
      <c r="A25" s="2" t="s">
        <v>13</v>
      </c>
      <c r="B25" s="1"/>
      <c r="C25" s="1"/>
    </row>
    <row r="26" spans="1:3" ht="16" x14ac:dyDescent="0.25">
      <c r="A26" s="2" t="s">
        <v>14</v>
      </c>
      <c r="B26" s="1"/>
      <c r="C26" s="1"/>
    </row>
    <row r="27" spans="1:3" ht="16" x14ac:dyDescent="0.25">
      <c r="A27" s="2" t="s">
        <v>15</v>
      </c>
      <c r="B27" s="1"/>
      <c r="C27" s="1"/>
    </row>
    <row r="28" spans="1:3" ht="16" x14ac:dyDescent="0.25">
      <c r="A28" s="2" t="s">
        <v>16</v>
      </c>
      <c r="B28" s="1"/>
      <c r="C28" s="1"/>
    </row>
    <row r="29" spans="1:3" ht="16" x14ac:dyDescent="0.25">
      <c r="A29" s="2" t="s">
        <v>17</v>
      </c>
      <c r="B29" s="1"/>
      <c r="C29" s="1"/>
    </row>
    <row r="30" spans="1:3" ht="16" x14ac:dyDescent="0.25">
      <c r="A30" s="2" t="s">
        <v>18</v>
      </c>
      <c r="B30" s="1"/>
      <c r="C30" s="1"/>
    </row>
    <row r="31" spans="1:3" ht="16" x14ac:dyDescent="0.25">
      <c r="A31" s="2" t="s">
        <v>19</v>
      </c>
      <c r="B31" s="1"/>
      <c r="C31" s="1"/>
    </row>
    <row r="32" spans="1:3" ht="16" x14ac:dyDescent="0.25">
      <c r="A32" s="2" t="s">
        <v>16</v>
      </c>
      <c r="B32" s="1"/>
      <c r="C32" s="1"/>
    </row>
    <row r="33" spans="1:3" ht="16" x14ac:dyDescent="0.25">
      <c r="A33" s="2" t="s">
        <v>20</v>
      </c>
      <c r="B33" s="1"/>
      <c r="C33" s="1"/>
    </row>
    <row r="34" spans="1:3" ht="16" x14ac:dyDescent="0.25">
      <c r="A34" s="2" t="s">
        <v>21</v>
      </c>
      <c r="B34" s="1"/>
      <c r="C34" s="1"/>
    </row>
    <row r="35" spans="1:3" ht="16" x14ac:dyDescent="0.25">
      <c r="A35" s="2" t="s">
        <v>22</v>
      </c>
      <c r="B35" s="1"/>
      <c r="C35" s="1"/>
    </row>
    <row r="36" spans="1:3" ht="16" x14ac:dyDescent="0.25">
      <c r="A36" s="2" t="s">
        <v>23</v>
      </c>
      <c r="B36" s="1"/>
      <c r="C36" s="1"/>
    </row>
    <row r="37" spans="1:3" ht="16" x14ac:dyDescent="0.25">
      <c r="A37" s="2" t="s">
        <v>16</v>
      </c>
      <c r="B37" s="1"/>
      <c r="C37" s="1"/>
    </row>
    <row r="38" spans="1:3" ht="16" x14ac:dyDescent="0.25">
      <c r="A38" s="2" t="s">
        <v>24</v>
      </c>
      <c r="B38" s="1"/>
      <c r="C38" s="1"/>
    </row>
    <row r="39" spans="1:3" ht="16" x14ac:dyDescent="0.25">
      <c r="A39" s="2" t="s">
        <v>16</v>
      </c>
      <c r="B39" s="1"/>
      <c r="C39" s="1"/>
    </row>
    <row r="40" spans="1:3" ht="16" x14ac:dyDescent="0.25">
      <c r="A40" s="2" t="s">
        <v>25</v>
      </c>
      <c r="B40" s="1"/>
      <c r="C40" s="1"/>
    </row>
    <row r="41" spans="1:3" ht="16" x14ac:dyDescent="0.25">
      <c r="A41" s="2" t="s">
        <v>26</v>
      </c>
      <c r="B41" s="1"/>
      <c r="C41" s="1"/>
    </row>
    <row r="42" spans="1:3" ht="16" x14ac:dyDescent="0.25">
      <c r="A42" s="2" t="s">
        <v>27</v>
      </c>
      <c r="B42" s="1"/>
      <c r="C42" s="1"/>
    </row>
    <row r="43" spans="1:3" ht="16" x14ac:dyDescent="0.25">
      <c r="A43" s="2" t="s">
        <v>28</v>
      </c>
      <c r="B43" s="1"/>
      <c r="C43" s="1"/>
    </row>
    <row r="44" spans="1:3" ht="16" x14ac:dyDescent="0.25">
      <c r="A44" s="2" t="s">
        <v>2</v>
      </c>
      <c r="B44" s="1"/>
      <c r="C44" s="1"/>
    </row>
    <row r="45" spans="1:3" x14ac:dyDescent="0.15">
      <c r="A45" s="1" t="s">
        <v>29</v>
      </c>
      <c r="B45" s="1" t="s">
        <v>30</v>
      </c>
      <c r="C45" t="s">
        <v>31</v>
      </c>
    </row>
    <row r="46" spans="1:3" x14ac:dyDescent="0.15">
      <c r="A46" s="1">
        <v>1959</v>
      </c>
      <c r="B46" s="1">
        <v>315.98</v>
      </c>
      <c r="C46">
        <v>0.12</v>
      </c>
    </row>
    <row r="47" spans="1:3" x14ac:dyDescent="0.15">
      <c r="A47" s="1">
        <v>1960</v>
      </c>
      <c r="B47" s="1">
        <v>316.91000000000003</v>
      </c>
      <c r="C47">
        <v>0.12</v>
      </c>
    </row>
    <row r="48" spans="1:3" x14ac:dyDescent="0.15">
      <c r="A48" s="1">
        <v>1961</v>
      </c>
      <c r="B48" s="1">
        <v>317.64</v>
      </c>
      <c r="C48">
        <v>0.12</v>
      </c>
    </row>
    <row r="49" spans="1:3" x14ac:dyDescent="0.15">
      <c r="A49" s="1">
        <v>1962</v>
      </c>
      <c r="B49" s="1">
        <v>318.45</v>
      </c>
      <c r="C49">
        <v>0.12</v>
      </c>
    </row>
    <row r="50" spans="1:3" x14ac:dyDescent="0.15">
      <c r="A50" s="1">
        <v>1963</v>
      </c>
      <c r="B50" s="1">
        <v>318.99</v>
      </c>
      <c r="C50">
        <v>0.12</v>
      </c>
    </row>
    <row r="51" spans="1:3" x14ac:dyDescent="0.15">
      <c r="A51" s="1">
        <v>1964</v>
      </c>
      <c r="B51" s="1">
        <v>319.62</v>
      </c>
      <c r="C51">
        <v>0.12</v>
      </c>
    </row>
    <row r="52" spans="1:3" x14ac:dyDescent="0.15">
      <c r="A52" s="1">
        <v>1965</v>
      </c>
      <c r="B52" s="1">
        <v>320.04000000000002</v>
      </c>
      <c r="C52">
        <v>0.12</v>
      </c>
    </row>
    <row r="53" spans="1:3" x14ac:dyDescent="0.15">
      <c r="A53" s="1">
        <v>1966</v>
      </c>
      <c r="B53" s="1">
        <v>321.37</v>
      </c>
      <c r="C53">
        <v>0.12</v>
      </c>
    </row>
    <row r="54" spans="1:3" x14ac:dyDescent="0.15">
      <c r="A54" s="1">
        <v>1967</v>
      </c>
      <c r="B54" s="1">
        <v>322.18</v>
      </c>
      <c r="C54">
        <v>0.12</v>
      </c>
    </row>
    <row r="55" spans="1:3" x14ac:dyDescent="0.15">
      <c r="A55" s="1">
        <v>1968</v>
      </c>
      <c r="B55" s="1">
        <v>323.05</v>
      </c>
      <c r="C55">
        <v>0.12</v>
      </c>
    </row>
    <row r="56" spans="1:3" x14ac:dyDescent="0.15">
      <c r="A56" s="1">
        <v>1969</v>
      </c>
      <c r="B56" s="1">
        <v>324.62</v>
      </c>
      <c r="C56">
        <v>0.12</v>
      </c>
    </row>
    <row r="57" spans="1:3" x14ac:dyDescent="0.15">
      <c r="A57" s="1">
        <v>1970</v>
      </c>
      <c r="B57" s="1">
        <v>325.68</v>
      </c>
      <c r="C57">
        <v>0.12</v>
      </c>
    </row>
    <row r="58" spans="1:3" x14ac:dyDescent="0.15">
      <c r="A58" s="1">
        <v>1971</v>
      </c>
      <c r="B58" s="1">
        <v>326.32</v>
      </c>
      <c r="C58">
        <v>0.12</v>
      </c>
    </row>
    <row r="59" spans="1:3" x14ac:dyDescent="0.15">
      <c r="A59" s="1">
        <v>1972</v>
      </c>
      <c r="B59" s="1">
        <v>327.45999999999998</v>
      </c>
      <c r="C59">
        <v>0.12</v>
      </c>
    </row>
    <row r="60" spans="1:3" x14ac:dyDescent="0.15">
      <c r="A60" s="1">
        <v>1973</v>
      </c>
      <c r="B60" s="1">
        <v>329.68</v>
      </c>
      <c r="C60">
        <v>0.12</v>
      </c>
    </row>
    <row r="61" spans="1:3" x14ac:dyDescent="0.15">
      <c r="A61" s="1">
        <v>1974</v>
      </c>
      <c r="B61" s="1">
        <v>330.19</v>
      </c>
      <c r="C61">
        <v>0.12</v>
      </c>
    </row>
    <row r="62" spans="1:3" x14ac:dyDescent="0.15">
      <c r="A62" s="1">
        <v>1975</v>
      </c>
      <c r="B62" s="1">
        <v>331.13</v>
      </c>
      <c r="C62">
        <v>0.12</v>
      </c>
    </row>
    <row r="63" spans="1:3" x14ac:dyDescent="0.15">
      <c r="A63" s="1">
        <v>1976</v>
      </c>
      <c r="B63" s="1">
        <v>332.03</v>
      </c>
      <c r="C63">
        <v>0.12</v>
      </c>
    </row>
    <row r="64" spans="1:3" x14ac:dyDescent="0.15">
      <c r="A64" s="1">
        <v>1977</v>
      </c>
      <c r="B64" s="1">
        <v>333.84</v>
      </c>
      <c r="C64">
        <v>0.12</v>
      </c>
    </row>
    <row r="65" spans="1:3" x14ac:dyDescent="0.15">
      <c r="A65" s="1">
        <v>1978</v>
      </c>
      <c r="B65" s="1">
        <v>335.41</v>
      </c>
      <c r="C65">
        <v>0.12</v>
      </c>
    </row>
    <row r="66" spans="1:3" x14ac:dyDescent="0.15">
      <c r="A66" s="1">
        <v>1979</v>
      </c>
      <c r="B66" s="1">
        <v>336.84</v>
      </c>
      <c r="C66">
        <v>0.12</v>
      </c>
    </row>
    <row r="67" spans="1:3" x14ac:dyDescent="0.15">
      <c r="A67" s="1">
        <v>1980</v>
      </c>
      <c r="B67" s="1">
        <v>338.76</v>
      </c>
      <c r="C67">
        <v>0.12</v>
      </c>
    </row>
    <row r="68" spans="1:3" x14ac:dyDescent="0.15">
      <c r="A68" s="1">
        <v>1981</v>
      </c>
      <c r="B68" s="1">
        <v>340.12</v>
      </c>
      <c r="C68">
        <v>0.12</v>
      </c>
    </row>
    <row r="69" spans="1:3" x14ac:dyDescent="0.15">
      <c r="A69" s="1">
        <v>1982</v>
      </c>
      <c r="B69" s="1">
        <v>341.48</v>
      </c>
      <c r="C69">
        <v>0.12</v>
      </c>
    </row>
    <row r="70" spans="1:3" x14ac:dyDescent="0.15">
      <c r="A70" s="1">
        <v>1983</v>
      </c>
      <c r="B70" s="1">
        <v>343.15</v>
      </c>
      <c r="C70">
        <v>0.12</v>
      </c>
    </row>
    <row r="71" spans="1:3" x14ac:dyDescent="0.15">
      <c r="A71" s="1">
        <v>1984</v>
      </c>
      <c r="B71" s="1">
        <v>344.87</v>
      </c>
      <c r="C71">
        <v>0.12</v>
      </c>
    </row>
    <row r="72" spans="1:3" x14ac:dyDescent="0.15">
      <c r="A72" s="1">
        <v>1985</v>
      </c>
      <c r="B72" s="1">
        <v>346.35</v>
      </c>
      <c r="C72">
        <v>0.12</v>
      </c>
    </row>
    <row r="73" spans="1:3" x14ac:dyDescent="0.15">
      <c r="A73" s="1">
        <v>1986</v>
      </c>
      <c r="B73" s="1">
        <v>347.61</v>
      </c>
      <c r="C73">
        <v>0.12</v>
      </c>
    </row>
    <row r="74" spans="1:3" x14ac:dyDescent="0.15">
      <c r="A74" s="1">
        <v>1987</v>
      </c>
      <c r="B74" s="1">
        <v>349.31</v>
      </c>
      <c r="C74">
        <v>0.12</v>
      </c>
    </row>
    <row r="75" spans="1:3" x14ac:dyDescent="0.15">
      <c r="A75" s="1">
        <v>1988</v>
      </c>
      <c r="B75" s="1">
        <v>351.69</v>
      </c>
      <c r="C75">
        <v>0.12</v>
      </c>
    </row>
    <row r="76" spans="1:3" x14ac:dyDescent="0.15">
      <c r="A76" s="1">
        <v>1989</v>
      </c>
      <c r="B76" s="1">
        <v>353.2</v>
      </c>
      <c r="C76">
        <v>0.12</v>
      </c>
    </row>
    <row r="77" spans="1:3" x14ac:dyDescent="0.15">
      <c r="A77" s="1">
        <v>1990</v>
      </c>
      <c r="B77" s="1">
        <v>354.45</v>
      </c>
      <c r="C77">
        <v>0.12</v>
      </c>
    </row>
    <row r="78" spans="1:3" x14ac:dyDescent="0.15">
      <c r="A78" s="1">
        <v>1991</v>
      </c>
      <c r="B78" s="1">
        <v>355.7</v>
      </c>
      <c r="C78">
        <v>0.12</v>
      </c>
    </row>
    <row r="79" spans="1:3" x14ac:dyDescent="0.15">
      <c r="A79" s="1">
        <v>1992</v>
      </c>
      <c r="B79" s="1">
        <v>356.54</v>
      </c>
      <c r="C79">
        <v>0.12</v>
      </c>
    </row>
    <row r="80" spans="1:3" x14ac:dyDescent="0.15">
      <c r="A80" s="1">
        <v>1993</v>
      </c>
      <c r="B80" s="1">
        <v>357.21</v>
      </c>
      <c r="C80">
        <v>0.12</v>
      </c>
    </row>
    <row r="81" spans="1:3" x14ac:dyDescent="0.15">
      <c r="A81" s="1">
        <v>1994</v>
      </c>
      <c r="B81" s="1">
        <v>358.96</v>
      </c>
      <c r="C81">
        <v>0.12</v>
      </c>
    </row>
    <row r="82" spans="1:3" x14ac:dyDescent="0.15">
      <c r="A82" s="1">
        <v>1995</v>
      </c>
      <c r="B82" s="1">
        <v>360.97</v>
      </c>
      <c r="C82">
        <v>0.12</v>
      </c>
    </row>
    <row r="83" spans="1:3" x14ac:dyDescent="0.15">
      <c r="A83" s="1">
        <v>1996</v>
      </c>
      <c r="B83" s="1">
        <v>362.74</v>
      </c>
      <c r="C83">
        <v>0.12</v>
      </c>
    </row>
    <row r="84" spans="1:3" x14ac:dyDescent="0.15">
      <c r="A84" s="1">
        <v>1997</v>
      </c>
      <c r="B84" s="1">
        <v>363.88</v>
      </c>
      <c r="C84">
        <v>0.12</v>
      </c>
    </row>
    <row r="85" spans="1:3" x14ac:dyDescent="0.15">
      <c r="A85" s="1">
        <v>1998</v>
      </c>
      <c r="B85" s="1">
        <v>366.84</v>
      </c>
      <c r="C85">
        <v>0.12</v>
      </c>
    </row>
    <row r="86" spans="1:3" x14ac:dyDescent="0.15">
      <c r="A86" s="1">
        <v>1999</v>
      </c>
      <c r="B86" s="1">
        <v>368.54</v>
      </c>
      <c r="C86">
        <v>0.12</v>
      </c>
    </row>
    <row r="87" spans="1:3" x14ac:dyDescent="0.15">
      <c r="A87" s="1">
        <v>2000</v>
      </c>
      <c r="B87" s="1">
        <v>369.71</v>
      </c>
      <c r="C87">
        <v>0.12</v>
      </c>
    </row>
    <row r="88" spans="1:3" x14ac:dyDescent="0.15">
      <c r="A88" s="1">
        <v>2001</v>
      </c>
      <c r="B88" s="1">
        <v>371.32</v>
      </c>
      <c r="C88">
        <v>0.12</v>
      </c>
    </row>
    <row r="89" spans="1:3" x14ac:dyDescent="0.15">
      <c r="A89" s="1">
        <v>2002</v>
      </c>
      <c r="B89" s="1">
        <v>373.45</v>
      </c>
      <c r="C89">
        <v>0.12</v>
      </c>
    </row>
    <row r="90" spans="1:3" x14ac:dyDescent="0.15">
      <c r="A90" s="1">
        <v>2003</v>
      </c>
      <c r="B90" s="1">
        <v>375.98</v>
      </c>
      <c r="C90">
        <v>0.12</v>
      </c>
    </row>
    <row r="91" spans="1:3" x14ac:dyDescent="0.15">
      <c r="A91" s="1">
        <v>2004</v>
      </c>
      <c r="B91" s="1">
        <v>377.7</v>
      </c>
      <c r="C91">
        <v>0.12</v>
      </c>
    </row>
    <row r="92" spans="1:3" x14ac:dyDescent="0.15">
      <c r="A92" s="1">
        <v>2005</v>
      </c>
      <c r="B92" s="1">
        <v>379.98</v>
      </c>
      <c r="C92">
        <v>0.12</v>
      </c>
    </row>
    <row r="93" spans="1:3" x14ac:dyDescent="0.15">
      <c r="A93" s="1">
        <v>2006</v>
      </c>
      <c r="B93" s="1">
        <v>382.09</v>
      </c>
      <c r="C93">
        <v>0.12</v>
      </c>
    </row>
    <row r="94" spans="1:3" x14ac:dyDescent="0.15">
      <c r="A94" s="1">
        <v>2007</v>
      </c>
      <c r="B94" s="1">
        <v>384.02</v>
      </c>
      <c r="C94">
        <v>0.12</v>
      </c>
    </row>
    <row r="95" spans="1:3" x14ac:dyDescent="0.15">
      <c r="A95" s="1">
        <v>2008</v>
      </c>
      <c r="B95" s="1">
        <v>385.83</v>
      </c>
      <c r="C95">
        <v>0.12</v>
      </c>
    </row>
    <row r="96" spans="1:3" x14ac:dyDescent="0.15">
      <c r="A96" s="1">
        <v>2009</v>
      </c>
      <c r="B96" s="1">
        <v>387.64</v>
      </c>
      <c r="C96">
        <v>0.12</v>
      </c>
    </row>
    <row r="97" spans="1:3" x14ac:dyDescent="0.15">
      <c r="A97" s="1">
        <v>2010</v>
      </c>
      <c r="B97" s="1">
        <v>390.1</v>
      </c>
      <c r="C97">
        <v>0.12</v>
      </c>
    </row>
    <row r="98" spans="1:3" x14ac:dyDescent="0.15">
      <c r="A98" s="1">
        <v>2011</v>
      </c>
      <c r="B98" s="1">
        <v>391.85</v>
      </c>
      <c r="C98">
        <v>0.12</v>
      </c>
    </row>
    <row r="99" spans="1:3" x14ac:dyDescent="0.15">
      <c r="A99" s="1">
        <v>2012</v>
      </c>
      <c r="B99" s="1">
        <v>394.06</v>
      </c>
      <c r="C99">
        <v>0.12</v>
      </c>
    </row>
    <row r="100" spans="1:3" x14ac:dyDescent="0.15">
      <c r="A100" s="1">
        <v>2013</v>
      </c>
      <c r="B100" s="1">
        <v>396.74</v>
      </c>
      <c r="C100">
        <v>0.12</v>
      </c>
    </row>
    <row r="101" spans="1:3" x14ac:dyDescent="0.15">
      <c r="A101" s="1">
        <v>2014</v>
      </c>
      <c r="B101" s="1">
        <v>398.81</v>
      </c>
      <c r="C101">
        <v>0.12</v>
      </c>
    </row>
    <row r="102" spans="1:3" x14ac:dyDescent="0.15">
      <c r="A102" s="1">
        <v>2015</v>
      </c>
      <c r="B102" s="1">
        <v>401.01</v>
      </c>
      <c r="C102">
        <v>0.12</v>
      </c>
    </row>
    <row r="103" spans="1:3" x14ac:dyDescent="0.15">
      <c r="A103" s="1">
        <v>2016</v>
      </c>
      <c r="B103" s="1">
        <v>404.41</v>
      </c>
      <c r="C103">
        <v>0.12</v>
      </c>
    </row>
    <row r="104" spans="1:3" x14ac:dyDescent="0.15">
      <c r="A104" s="1">
        <v>2017</v>
      </c>
      <c r="B104" s="1">
        <v>406.76</v>
      </c>
      <c r="C104">
        <v>0.12</v>
      </c>
    </row>
    <row r="105" spans="1:3" x14ac:dyDescent="0.15">
      <c r="A105" s="1">
        <v>2018</v>
      </c>
      <c r="B105" s="1">
        <v>408.72</v>
      </c>
      <c r="C105">
        <v>0.12</v>
      </c>
    </row>
    <row r="106" spans="1:3" x14ac:dyDescent="0.15">
      <c r="A106" s="1">
        <v>2019</v>
      </c>
      <c r="B106" s="1">
        <v>411.65</v>
      </c>
      <c r="C106">
        <v>0.12</v>
      </c>
    </row>
    <row r="107" spans="1:3" x14ac:dyDescent="0.15">
      <c r="A107" s="1">
        <v>2020</v>
      </c>
      <c r="B107" s="1">
        <v>414.21</v>
      </c>
      <c r="C107">
        <v>0.12</v>
      </c>
    </row>
    <row r="108" spans="1:3" x14ac:dyDescent="0.15">
      <c r="A108" s="1">
        <v>2021</v>
      </c>
      <c r="B108" s="1">
        <v>416.41</v>
      </c>
      <c r="C108">
        <v>0.12</v>
      </c>
    </row>
    <row r="109" spans="1:3" x14ac:dyDescent="0.15">
      <c r="A109" s="1">
        <v>2022</v>
      </c>
      <c r="B109" s="1">
        <v>418.53</v>
      </c>
      <c r="C109">
        <v>0.12</v>
      </c>
    </row>
    <row r="110" spans="1:3" x14ac:dyDescent="0.15">
      <c r="A110" s="1">
        <v>2023</v>
      </c>
      <c r="B110" s="1">
        <v>421.08</v>
      </c>
      <c r="C110">
        <v>0.12</v>
      </c>
    </row>
    <row r="111" spans="1:3" x14ac:dyDescent="0.15">
      <c r="A111">
        <v>2024</v>
      </c>
      <c r="B111">
        <v>424.61</v>
      </c>
      <c r="C111">
        <v>0.12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B688-8D4E-7942-9E3E-503809BA91EB}">
  <dimension ref="A1:T26"/>
  <sheetViews>
    <sheetView zoomScale="130" zoomScaleNormal="130" workbookViewId="0">
      <selection activeCell="N22" sqref="N22"/>
    </sheetView>
  </sheetViews>
  <sheetFormatPr baseColWidth="10" defaultRowHeight="13" x14ac:dyDescent="0.15"/>
  <cols>
    <col min="4" max="4" width="6.1640625" bestFit="1" customWidth="1"/>
    <col min="8" max="8" width="8.5" customWidth="1"/>
  </cols>
  <sheetData>
    <row r="1" spans="1:20" ht="18" customHeight="1" x14ac:dyDescent="0.15">
      <c r="A1" s="3" t="s">
        <v>38</v>
      </c>
      <c r="B1" s="3" t="s">
        <v>33</v>
      </c>
      <c r="C1" s="3" t="s">
        <v>34</v>
      </c>
      <c r="D1" s="4" t="s">
        <v>37</v>
      </c>
      <c r="E1" s="3" t="s">
        <v>35</v>
      </c>
      <c r="F1" s="5" t="s">
        <v>36</v>
      </c>
      <c r="H1" s="8" t="s">
        <v>39</v>
      </c>
      <c r="I1" s="8"/>
      <c r="J1" s="8"/>
      <c r="K1" s="8"/>
      <c r="L1" s="8"/>
      <c r="M1" s="8"/>
      <c r="N1" s="8"/>
      <c r="O1" s="8"/>
      <c r="P1" s="8"/>
      <c r="Q1" s="8"/>
      <c r="R1" s="8"/>
      <c r="T1" s="9" t="s">
        <v>40</v>
      </c>
    </row>
    <row r="2" spans="1:20" x14ac:dyDescent="0.15">
      <c r="A2">
        <v>0</v>
      </c>
      <c r="B2">
        <v>2010</v>
      </c>
      <c r="C2" s="6">
        <v>390.1</v>
      </c>
      <c r="D2">
        <f>B3-B2</f>
        <v>1</v>
      </c>
      <c r="E2" s="6">
        <f>(C3-C2)/D2</f>
        <v>1.75</v>
      </c>
      <c r="F2" s="6">
        <v>0</v>
      </c>
      <c r="G2" s="6">
        <v>0</v>
      </c>
      <c r="H2" s="13">
        <f>_xlfn.LET(
_xlpm.r, ROW()-ROW($H$2),
_xlpm.c, COLUMN()-COLUMN($H$2),
_xlpm.n, 11,
IF(_xlpm.r=0,
   IF(_xlpm.c=0,1, IF(_xlpm.c=1,-2, IF(_xlpm.c=2,1,0))),
IF(_xlpm.r=_xlpm.n-1,
   IF(_xlpm.c=_xlpm.n-3,1, IF(_xlpm.c=_xlpm.n-2,-2, IF(_xlpm.c=_xlpm.n-1,1,0))),
IF(ABS(_xlpm.c-_xlpm.r)=1,1,
IF(_xlpm.c=_xlpm.r,4,0)))))</f>
        <v>1</v>
      </c>
      <c r="I2" s="14">
        <f t="shared" ref="I2:R12" si="0">_xlfn.LET(
_xlpm.r, ROW()-ROW($H$2),
_xlpm.c, COLUMN()-COLUMN($H$2),
_xlpm.n, 11,
IF(_xlpm.r=0,
   IF(_xlpm.c=0,1, IF(_xlpm.c=1,-2, IF(_xlpm.c=2,1,0))),
IF(_xlpm.r=_xlpm.n-1,
   IF(_xlpm.c=_xlpm.n-3,1, IF(_xlpm.c=_xlpm.n-2,-2, IF(_xlpm.c=_xlpm.n-1,1,0))),
IF(ABS(_xlpm.c-_xlpm.r)=1,1,
IF(_xlpm.c=_xlpm.r,4,0)))))</f>
        <v>-2</v>
      </c>
      <c r="J2" s="14">
        <f t="shared" si="0"/>
        <v>1</v>
      </c>
      <c r="K2" s="14">
        <f t="shared" si="0"/>
        <v>0</v>
      </c>
      <c r="L2" s="14">
        <f t="shared" si="0"/>
        <v>0</v>
      </c>
      <c r="M2" s="14">
        <f t="shared" si="0"/>
        <v>0</v>
      </c>
      <c r="N2" s="14">
        <f t="shared" si="0"/>
        <v>0</v>
      </c>
      <c r="O2" s="14">
        <f t="shared" si="0"/>
        <v>0</v>
      </c>
      <c r="P2" s="14">
        <f t="shared" si="0"/>
        <v>0</v>
      </c>
      <c r="Q2" s="14">
        <f t="shared" si="0"/>
        <v>0</v>
      </c>
      <c r="R2" s="15">
        <f t="shared" si="0"/>
        <v>0</v>
      </c>
      <c r="S2" s="6"/>
      <c r="T2" s="10" cm="1">
        <f t="array" ref="T2:T12">MMULT(MINVERSE(H2:R12),F2:F12)</f>
        <v>2.7119385125137396E-2</v>
      </c>
    </row>
    <row r="3" spans="1:20" x14ac:dyDescent="0.15">
      <c r="A3">
        <v>1</v>
      </c>
      <c r="B3">
        <v>2011</v>
      </c>
      <c r="C3" s="6">
        <v>391.85</v>
      </c>
      <c r="D3">
        <f t="shared" ref="D3:D11" si="1">B4-B3</f>
        <v>1</v>
      </c>
      <c r="E3" s="6">
        <f t="shared" ref="E3:E11" si="2">(C4-C3)/D3</f>
        <v>2.2099999999999795</v>
      </c>
      <c r="F3" s="6">
        <f>3*(E3-E2)</f>
        <v>1.3799999999999386</v>
      </c>
      <c r="G3" s="6">
        <v>0</v>
      </c>
      <c r="H3" s="16">
        <f t="shared" ref="H3:H12" si="3">_xlfn.LET(
_xlpm.r, ROW()-ROW($H$2),
_xlpm.c, COLUMN()-COLUMN($H$2),
_xlpm.n, 11,
IF(_xlpm.r=0,
   IF(_xlpm.c=0,1, IF(_xlpm.c=1,-2, IF(_xlpm.c=2,1,0))),
IF(_xlpm.r=_xlpm.n-1,
   IF(_xlpm.c=_xlpm.n-3,1, IF(_xlpm.c=_xlpm.n-2,-2, IF(_xlpm.c=_xlpm.n-1,1,0))),
IF(ABS(_xlpm.c-_xlpm.r)=1,1,
IF(_xlpm.c=_xlpm.r,4,0)))))</f>
        <v>1</v>
      </c>
      <c r="I3" s="17">
        <f t="shared" si="0"/>
        <v>4</v>
      </c>
      <c r="J3" s="17">
        <f t="shared" si="0"/>
        <v>1</v>
      </c>
      <c r="K3" s="17">
        <f t="shared" si="0"/>
        <v>0</v>
      </c>
      <c r="L3" s="17">
        <f t="shared" si="0"/>
        <v>0</v>
      </c>
      <c r="M3" s="17">
        <f t="shared" si="0"/>
        <v>0</v>
      </c>
      <c r="N3" s="17">
        <f t="shared" si="0"/>
        <v>0</v>
      </c>
      <c r="O3" s="17">
        <f t="shared" si="0"/>
        <v>0</v>
      </c>
      <c r="P3" s="17">
        <f t="shared" si="0"/>
        <v>0</v>
      </c>
      <c r="Q3" s="17">
        <f t="shared" si="0"/>
        <v>0</v>
      </c>
      <c r="R3" s="18">
        <f t="shared" si="0"/>
        <v>0</v>
      </c>
      <c r="T3" s="11">
        <v>0.22999999999998977</v>
      </c>
    </row>
    <row r="4" spans="1:20" x14ac:dyDescent="0.15">
      <c r="A4">
        <v>2</v>
      </c>
      <c r="B4">
        <v>2012</v>
      </c>
      <c r="C4" s="6">
        <v>394.06</v>
      </c>
      <c r="D4">
        <f t="shared" si="1"/>
        <v>1</v>
      </c>
      <c r="E4" s="6">
        <f t="shared" si="2"/>
        <v>2.6800000000000068</v>
      </c>
      <c r="F4" s="6">
        <f t="shared" ref="F4:F11" si="4">3*(E4-E3)</f>
        <v>1.4100000000000819</v>
      </c>
      <c r="G4" s="6">
        <v>0</v>
      </c>
      <c r="H4" s="16">
        <f t="shared" si="3"/>
        <v>0</v>
      </c>
      <c r="I4" s="17">
        <f t="shared" si="0"/>
        <v>1</v>
      </c>
      <c r="J4" s="17">
        <f t="shared" si="0"/>
        <v>4</v>
      </c>
      <c r="K4" s="17">
        <f t="shared" si="0"/>
        <v>1</v>
      </c>
      <c r="L4" s="17">
        <f t="shared" si="0"/>
        <v>0</v>
      </c>
      <c r="M4" s="17">
        <f t="shared" si="0"/>
        <v>0</v>
      </c>
      <c r="N4" s="17">
        <f t="shared" si="0"/>
        <v>0</v>
      </c>
      <c r="O4" s="17">
        <f t="shared" si="0"/>
        <v>0</v>
      </c>
      <c r="P4" s="17">
        <f t="shared" si="0"/>
        <v>0</v>
      </c>
      <c r="Q4" s="17">
        <f t="shared" si="0"/>
        <v>0</v>
      </c>
      <c r="R4" s="18">
        <f t="shared" si="0"/>
        <v>0</v>
      </c>
      <c r="T4" s="11">
        <v>0.43288061487484214</v>
      </c>
    </row>
    <row r="5" spans="1:20" x14ac:dyDescent="0.15">
      <c r="A5">
        <v>3</v>
      </c>
      <c r="B5">
        <v>2013</v>
      </c>
      <c r="C5" s="6">
        <v>396.74</v>
      </c>
      <c r="D5">
        <f t="shared" si="1"/>
        <v>1</v>
      </c>
      <c r="E5" s="6">
        <f t="shared" si="2"/>
        <v>2.0699999999999932</v>
      </c>
      <c r="F5" s="6">
        <f t="shared" si="4"/>
        <v>-1.8300000000000409</v>
      </c>
      <c r="G5" s="6">
        <v>0</v>
      </c>
      <c r="H5" s="16">
        <f t="shared" si="3"/>
        <v>0</v>
      </c>
      <c r="I5" s="17">
        <f t="shared" si="0"/>
        <v>0</v>
      </c>
      <c r="J5" s="17">
        <f t="shared" si="0"/>
        <v>1</v>
      </c>
      <c r="K5" s="17">
        <f t="shared" si="0"/>
        <v>4</v>
      </c>
      <c r="L5" s="17">
        <f t="shared" si="0"/>
        <v>1</v>
      </c>
      <c r="M5" s="17">
        <f t="shared" si="0"/>
        <v>0</v>
      </c>
      <c r="N5" s="17">
        <f t="shared" si="0"/>
        <v>0</v>
      </c>
      <c r="O5" s="17">
        <f t="shared" si="0"/>
        <v>0</v>
      </c>
      <c r="P5" s="17">
        <f t="shared" si="0"/>
        <v>0</v>
      </c>
      <c r="Q5" s="17">
        <f t="shared" si="0"/>
        <v>0</v>
      </c>
      <c r="R5" s="18">
        <f t="shared" si="0"/>
        <v>0</v>
      </c>
      <c r="T5" s="11">
        <v>-0.55152245949927647</v>
      </c>
    </row>
    <row r="6" spans="1:20" x14ac:dyDescent="0.15">
      <c r="A6">
        <v>4</v>
      </c>
      <c r="B6">
        <v>2014</v>
      </c>
      <c r="C6" s="6">
        <v>398.81</v>
      </c>
      <c r="D6">
        <f t="shared" si="1"/>
        <v>1</v>
      </c>
      <c r="E6" s="6">
        <f t="shared" si="2"/>
        <v>2.1999999999999886</v>
      </c>
      <c r="F6" s="6">
        <f t="shared" si="4"/>
        <v>0.38999999999998636</v>
      </c>
      <c r="G6" s="6">
        <v>0</v>
      </c>
      <c r="H6" s="16">
        <f t="shared" si="3"/>
        <v>0</v>
      </c>
      <c r="I6" s="17">
        <f t="shared" si="0"/>
        <v>0</v>
      </c>
      <c r="J6" s="17">
        <f t="shared" si="0"/>
        <v>0</v>
      </c>
      <c r="K6" s="17">
        <f t="shared" si="0"/>
        <v>1</v>
      </c>
      <c r="L6" s="17">
        <f t="shared" si="0"/>
        <v>4</v>
      </c>
      <c r="M6" s="17">
        <f t="shared" si="0"/>
        <v>1</v>
      </c>
      <c r="N6" s="17">
        <f t="shared" si="0"/>
        <v>0</v>
      </c>
      <c r="O6" s="17">
        <f t="shared" si="0"/>
        <v>0</v>
      </c>
      <c r="P6" s="17">
        <f t="shared" si="0"/>
        <v>0</v>
      </c>
      <c r="Q6" s="17">
        <f t="shared" si="0"/>
        <v>0</v>
      </c>
      <c r="R6" s="18">
        <f t="shared" si="0"/>
        <v>0</v>
      </c>
      <c r="T6" s="11">
        <v>-5.6790776877776741E-2</v>
      </c>
    </row>
    <row r="7" spans="1:20" x14ac:dyDescent="0.15">
      <c r="A7">
        <v>5</v>
      </c>
      <c r="B7">
        <v>2015</v>
      </c>
      <c r="C7" s="6">
        <v>401.01</v>
      </c>
      <c r="D7">
        <f t="shared" si="1"/>
        <v>1</v>
      </c>
      <c r="E7" s="6">
        <f t="shared" si="2"/>
        <v>3.4000000000000341</v>
      </c>
      <c r="F7" s="6">
        <f t="shared" si="4"/>
        <v>3.6000000000001364</v>
      </c>
      <c r="G7" s="6">
        <v>0</v>
      </c>
      <c r="H7" s="16">
        <f t="shared" si="3"/>
        <v>0</v>
      </c>
      <c r="I7" s="17">
        <f t="shared" si="0"/>
        <v>0</v>
      </c>
      <c r="J7" s="17">
        <f t="shared" si="0"/>
        <v>0</v>
      </c>
      <c r="K7" s="17">
        <f t="shared" si="0"/>
        <v>0</v>
      </c>
      <c r="L7" s="17">
        <f t="shared" si="0"/>
        <v>1</v>
      </c>
      <c r="M7" s="17">
        <f t="shared" si="0"/>
        <v>4</v>
      </c>
      <c r="N7" s="17">
        <f t="shared" si="0"/>
        <v>1</v>
      </c>
      <c r="O7" s="17">
        <f t="shared" si="0"/>
        <v>0</v>
      </c>
      <c r="P7" s="17">
        <f t="shared" si="0"/>
        <v>0</v>
      </c>
      <c r="Q7" s="17">
        <f t="shared" si="0"/>
        <v>0</v>
      </c>
      <c r="R7" s="18">
        <f t="shared" si="0"/>
        <v>0</v>
      </c>
      <c r="T7" s="11">
        <v>1.16868556701037</v>
      </c>
    </row>
    <row r="8" spans="1:20" x14ac:dyDescent="0.15">
      <c r="A8">
        <v>6</v>
      </c>
      <c r="B8">
        <v>2016</v>
      </c>
      <c r="C8" s="6">
        <v>404.41</v>
      </c>
      <c r="D8">
        <f t="shared" si="1"/>
        <v>1</v>
      </c>
      <c r="E8" s="6">
        <f t="shared" si="2"/>
        <v>2.3499999999999659</v>
      </c>
      <c r="F8" s="6">
        <f t="shared" si="4"/>
        <v>-3.1500000000002046</v>
      </c>
      <c r="G8" s="6">
        <v>0</v>
      </c>
      <c r="H8" s="16">
        <f t="shared" si="3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1</v>
      </c>
      <c r="N8" s="17">
        <f t="shared" si="0"/>
        <v>4</v>
      </c>
      <c r="O8" s="17">
        <f t="shared" si="0"/>
        <v>1</v>
      </c>
      <c r="P8" s="17">
        <f t="shared" si="0"/>
        <v>0</v>
      </c>
      <c r="Q8" s="17">
        <f t="shared" si="0"/>
        <v>0</v>
      </c>
      <c r="R8" s="18">
        <f t="shared" si="0"/>
        <v>0</v>
      </c>
      <c r="T8" s="11">
        <v>-1.017951491163567</v>
      </c>
    </row>
    <row r="9" spans="1:20" x14ac:dyDescent="0.15">
      <c r="A9">
        <v>7</v>
      </c>
      <c r="B9">
        <v>2017</v>
      </c>
      <c r="C9" s="6">
        <v>406.76</v>
      </c>
      <c r="D9">
        <f t="shared" si="1"/>
        <v>1</v>
      </c>
      <c r="E9" s="6">
        <f t="shared" si="2"/>
        <v>1.9600000000000364</v>
      </c>
      <c r="F9" s="6">
        <f t="shared" si="4"/>
        <v>-1.1699999999997885</v>
      </c>
      <c r="G9" s="6">
        <v>0</v>
      </c>
      <c r="H9" s="16">
        <f t="shared" si="3"/>
        <v>0</v>
      </c>
      <c r="I9" s="17">
        <f t="shared" si="0"/>
        <v>0</v>
      </c>
      <c r="J9" s="17">
        <f t="shared" si="0"/>
        <v>0</v>
      </c>
      <c r="K9" s="17">
        <f t="shared" si="0"/>
        <v>0</v>
      </c>
      <c r="L9" s="17">
        <f t="shared" si="0"/>
        <v>0</v>
      </c>
      <c r="M9" s="17">
        <f t="shared" si="0"/>
        <v>0</v>
      </c>
      <c r="N9" s="17">
        <f t="shared" si="0"/>
        <v>1</v>
      </c>
      <c r="O9" s="17">
        <f t="shared" si="0"/>
        <v>4</v>
      </c>
      <c r="P9" s="17">
        <f t="shared" si="0"/>
        <v>1</v>
      </c>
      <c r="Q9" s="17">
        <f t="shared" si="0"/>
        <v>0</v>
      </c>
      <c r="R9" s="18">
        <f t="shared" si="0"/>
        <v>0</v>
      </c>
      <c r="T9" s="11">
        <v>-0.24687960235630674</v>
      </c>
    </row>
    <row r="10" spans="1:20" x14ac:dyDescent="0.15">
      <c r="A10">
        <v>8</v>
      </c>
      <c r="B10">
        <v>2018</v>
      </c>
      <c r="C10" s="6">
        <v>408.72</v>
      </c>
      <c r="D10">
        <f t="shared" si="1"/>
        <v>1</v>
      </c>
      <c r="E10" s="6">
        <f t="shared" si="2"/>
        <v>2.92999999999995</v>
      </c>
      <c r="F10" s="6">
        <f t="shared" si="4"/>
        <v>2.9099999999997408</v>
      </c>
      <c r="G10" s="6">
        <v>0</v>
      </c>
      <c r="H10" s="16">
        <f t="shared" si="3"/>
        <v>0</v>
      </c>
      <c r="I10" s="17">
        <f t="shared" si="0"/>
        <v>0</v>
      </c>
      <c r="J10" s="17">
        <f t="shared" si="0"/>
        <v>0</v>
      </c>
      <c r="K10" s="17">
        <f t="shared" si="0"/>
        <v>0</v>
      </c>
      <c r="L10" s="17">
        <f t="shared" si="0"/>
        <v>0</v>
      </c>
      <c r="M10" s="17">
        <f t="shared" si="0"/>
        <v>0</v>
      </c>
      <c r="N10" s="17">
        <f t="shared" si="0"/>
        <v>0</v>
      </c>
      <c r="O10" s="17">
        <f t="shared" si="0"/>
        <v>1</v>
      </c>
      <c r="P10" s="17">
        <f t="shared" si="0"/>
        <v>4</v>
      </c>
      <c r="Q10" s="17">
        <f t="shared" si="0"/>
        <v>1</v>
      </c>
      <c r="R10" s="18">
        <f t="shared" si="0"/>
        <v>0</v>
      </c>
      <c r="T10" s="11">
        <v>0.83546990058900539</v>
      </c>
    </row>
    <row r="11" spans="1:20" x14ac:dyDescent="0.15">
      <c r="A11">
        <v>9</v>
      </c>
      <c r="B11">
        <v>2019</v>
      </c>
      <c r="C11" s="6">
        <v>411.65</v>
      </c>
      <c r="D11">
        <f t="shared" si="1"/>
        <v>1</v>
      </c>
      <c r="E11" s="6">
        <f t="shared" si="2"/>
        <v>2.5600000000000023</v>
      </c>
      <c r="F11" s="6">
        <f t="shared" si="4"/>
        <v>-1.1099999999998431</v>
      </c>
      <c r="G11" s="6">
        <v>0</v>
      </c>
      <c r="H11" s="16">
        <f t="shared" si="3"/>
        <v>0</v>
      </c>
      <c r="I11" s="17">
        <f t="shared" si="0"/>
        <v>0</v>
      </c>
      <c r="J11" s="17">
        <f t="shared" si="0"/>
        <v>0</v>
      </c>
      <c r="K11" s="17">
        <f t="shared" si="0"/>
        <v>0</v>
      </c>
      <c r="L11" s="17">
        <f t="shared" si="0"/>
        <v>0</v>
      </c>
      <c r="M11" s="17">
        <f t="shared" si="0"/>
        <v>0</v>
      </c>
      <c r="N11" s="17">
        <f t="shared" si="0"/>
        <v>0</v>
      </c>
      <c r="O11" s="17">
        <f t="shared" si="0"/>
        <v>0</v>
      </c>
      <c r="P11" s="17">
        <f t="shared" si="0"/>
        <v>1</v>
      </c>
      <c r="Q11" s="17">
        <f t="shared" si="0"/>
        <v>4</v>
      </c>
      <c r="R11" s="18">
        <f t="shared" si="0"/>
        <v>1</v>
      </c>
      <c r="T11" s="11">
        <v>-0.18499999999997385</v>
      </c>
    </row>
    <row r="12" spans="1:20" x14ac:dyDescent="0.15">
      <c r="A12">
        <v>10</v>
      </c>
      <c r="B12">
        <v>2020</v>
      </c>
      <c r="C12" s="6">
        <v>414.21</v>
      </c>
      <c r="F12" s="6">
        <v>0</v>
      </c>
      <c r="G12" s="6">
        <v>0</v>
      </c>
      <c r="H12" s="19">
        <f t="shared" si="3"/>
        <v>0</v>
      </c>
      <c r="I12" s="20">
        <f t="shared" si="0"/>
        <v>0</v>
      </c>
      <c r="J12" s="20">
        <f t="shared" si="0"/>
        <v>0</v>
      </c>
      <c r="K12" s="20">
        <f t="shared" si="0"/>
        <v>0</v>
      </c>
      <c r="L12" s="20">
        <f t="shared" si="0"/>
        <v>0</v>
      </c>
      <c r="M12" s="20">
        <f t="shared" si="0"/>
        <v>0</v>
      </c>
      <c r="N12" s="20">
        <f t="shared" si="0"/>
        <v>0</v>
      </c>
      <c r="O12" s="20">
        <f t="shared" si="0"/>
        <v>0</v>
      </c>
      <c r="P12" s="20">
        <f t="shared" si="0"/>
        <v>1</v>
      </c>
      <c r="Q12" s="20">
        <f t="shared" si="0"/>
        <v>-2</v>
      </c>
      <c r="R12" s="21">
        <f t="shared" si="0"/>
        <v>1</v>
      </c>
      <c r="T12" s="12">
        <v>-1.2054699005889531</v>
      </c>
    </row>
    <row r="15" spans="1:20" x14ac:dyDescent="0.15">
      <c r="H15" s="22"/>
    </row>
    <row r="17" spans="8:8" x14ac:dyDescent="0.15">
      <c r="H17" s="6"/>
    </row>
    <row r="18" spans="8:8" x14ac:dyDescent="0.15">
      <c r="H18" s="22"/>
    </row>
    <row r="20" spans="8:8" x14ac:dyDescent="0.15">
      <c r="H20" s="6"/>
    </row>
    <row r="21" spans="8:8" x14ac:dyDescent="0.15">
      <c r="H21" s="22"/>
    </row>
    <row r="23" spans="8:8" x14ac:dyDescent="0.15">
      <c r="H23" s="6"/>
    </row>
    <row r="24" spans="8:8" x14ac:dyDescent="0.15">
      <c r="H24" s="22"/>
    </row>
    <row r="26" spans="8:8" x14ac:dyDescent="0.15">
      <c r="H26" s="6"/>
    </row>
  </sheetData>
  <mergeCells count="1">
    <mergeCell ref="H1:R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B6BA-9E91-3845-AF87-903D710136BF}">
  <dimension ref="A1:S67"/>
  <sheetViews>
    <sheetView tabSelected="1" zoomScale="117" zoomScaleNormal="80" workbookViewId="0">
      <selection activeCell="B1" sqref="B1"/>
    </sheetView>
  </sheetViews>
  <sheetFormatPr baseColWidth="10" defaultRowHeight="13" x14ac:dyDescent="0.15"/>
  <cols>
    <col min="6" max="6" width="18.1640625" bestFit="1" customWidth="1"/>
  </cols>
  <sheetData>
    <row r="1" spans="1:19" x14ac:dyDescent="0.15">
      <c r="A1" s="24" t="s">
        <v>42</v>
      </c>
      <c r="B1" s="25">
        <v>2015.25</v>
      </c>
      <c r="C1" s="23" t="s">
        <v>44</v>
      </c>
      <c r="D1" s="23" t="s">
        <v>45</v>
      </c>
      <c r="E1" s="23" t="s">
        <v>46</v>
      </c>
      <c r="F1" s="23" t="s">
        <v>43</v>
      </c>
      <c r="G1" s="29" t="s">
        <v>47</v>
      </c>
      <c r="H1" s="29" t="s">
        <v>48</v>
      </c>
      <c r="I1" s="29" t="s">
        <v>49</v>
      </c>
      <c r="J1" s="29" t="s">
        <v>50</v>
      </c>
      <c r="K1" s="29" t="s">
        <v>51</v>
      </c>
      <c r="L1" s="26"/>
    </row>
    <row r="2" spans="1:19" x14ac:dyDescent="0.15">
      <c r="C2" s="30">
        <v>0</v>
      </c>
      <c r="D2" s="1">
        <v>2015</v>
      </c>
      <c r="E2" s="1">
        <v>401.01</v>
      </c>
      <c r="F2">
        <f>$B$1-D2</f>
        <v>0.25</v>
      </c>
      <c r="G2" s="28">
        <f>(E3-E2)/(D3-D2)</f>
        <v>3.4000000000000341</v>
      </c>
      <c r="H2" s="28">
        <f>(G3-G2)/(D4-D2)</f>
        <v>0.60000000000002274</v>
      </c>
      <c r="I2" s="28">
        <f>(H3-H2)/(D5-D2)</f>
        <v>-0.37500000000001887</v>
      </c>
      <c r="J2" s="28">
        <f>(I3-I2)/(D6-D2)</f>
        <v>-0.13833333333334011</v>
      </c>
      <c r="K2" s="28">
        <f>(J3-J2)/(D7-D2)</f>
        <v>5.1916666666670108E-2</v>
      </c>
    </row>
    <row r="3" spans="1:19" x14ac:dyDescent="0.15">
      <c r="C3" s="30">
        <v>1</v>
      </c>
      <c r="D3" s="1">
        <v>2016</v>
      </c>
      <c r="E3" s="1">
        <v>404.41</v>
      </c>
      <c r="F3">
        <f>ABS($B$1-D3)</f>
        <v>0.75</v>
      </c>
      <c r="G3" s="28">
        <f t="shared" ref="G3:G66" si="0">(E4-E3)/(D4-D3)</f>
        <v>2.8000000000000114</v>
      </c>
      <c r="H3" s="28">
        <f t="shared" ref="H3:H66" si="1">(G4-G3)/(D5-D3)</f>
        <v>-0.15000000000001501</v>
      </c>
      <c r="I3" s="28">
        <f t="shared" ref="I3:I66" si="2">(H4-H3)/(D6-D3)</f>
        <v>-9.8333333333338643E-2</v>
      </c>
      <c r="J3" s="28">
        <f t="shared" ref="J3:J66" si="3">(I4-I3)/(D7-D3)</f>
        <v>1.7416666666670209E-2</v>
      </c>
      <c r="K3" s="28">
        <f t="shared" ref="K3:K66" si="4">(J4-J3)/(D8-D3)</f>
        <v>1.0750000000000877E-2</v>
      </c>
    </row>
    <row r="4" spans="1:19" x14ac:dyDescent="0.15">
      <c r="C4" s="30">
        <v>2</v>
      </c>
      <c r="D4" s="1">
        <v>2014</v>
      </c>
      <c r="E4" s="1">
        <v>398.81</v>
      </c>
      <c r="F4">
        <f>ABS($B$1-D4)</f>
        <v>1.25</v>
      </c>
      <c r="G4" s="28">
        <f t="shared" si="0"/>
        <v>2.6499999999999964</v>
      </c>
      <c r="H4" s="28">
        <f t="shared" si="1"/>
        <v>0.14500000000000091</v>
      </c>
      <c r="I4" s="28">
        <f t="shared" si="2"/>
        <v>-6.3499999999998225E-2</v>
      </c>
      <c r="J4" s="28">
        <f t="shared" si="3"/>
        <v>-2.5583333333333302E-2</v>
      </c>
      <c r="K4" s="28">
        <f t="shared" si="4"/>
        <v>8.2976190476187536E-3</v>
      </c>
      <c r="M4" s="9" t="s">
        <v>52</v>
      </c>
    </row>
    <row r="5" spans="1:19" x14ac:dyDescent="0.15">
      <c r="C5" s="30">
        <v>3</v>
      </c>
      <c r="D5" s="1">
        <v>2017</v>
      </c>
      <c r="E5" s="1">
        <v>406.76</v>
      </c>
      <c r="F5">
        <f>ABS($B$1-D5)</f>
        <v>1.75</v>
      </c>
      <c r="G5" s="28">
        <f t="shared" si="0"/>
        <v>2.5049999999999955</v>
      </c>
      <c r="H5" s="28">
        <f t="shared" si="1"/>
        <v>-0.10899999999999199</v>
      </c>
      <c r="I5" s="28">
        <f t="shared" si="2"/>
        <v>-1.2333333333331619E-2</v>
      </c>
      <c r="J5" s="28">
        <f t="shared" si="3"/>
        <v>1.5904761904760468E-2</v>
      </c>
      <c r="K5" s="28">
        <f t="shared" si="4"/>
        <v>1.4047619047616467E-3</v>
      </c>
      <c r="M5" s="9" t="s">
        <v>53</v>
      </c>
      <c r="N5">
        <v>0</v>
      </c>
      <c r="O5">
        <v>1</v>
      </c>
      <c r="P5">
        <v>2</v>
      </c>
      <c r="Q5">
        <v>3</v>
      </c>
      <c r="R5" s="31">
        <v>4</v>
      </c>
      <c r="S5">
        <v>5</v>
      </c>
    </row>
    <row r="6" spans="1:19" x14ac:dyDescent="0.15">
      <c r="C6" s="30">
        <v>4</v>
      </c>
      <c r="D6" s="1">
        <v>2013</v>
      </c>
      <c r="E6" s="1">
        <v>396.74</v>
      </c>
      <c r="F6">
        <f>ABS($B$1-D6)</f>
        <v>2.25</v>
      </c>
      <c r="G6" s="28">
        <f t="shared" si="0"/>
        <v>2.3960000000000035</v>
      </c>
      <c r="H6" s="28">
        <f t="shared" si="1"/>
        <v>-4.7333333333333893E-2</v>
      </c>
      <c r="I6" s="28">
        <f t="shared" si="2"/>
        <v>1.9476190476189315E-2</v>
      </c>
      <c r="J6" s="28">
        <f t="shared" si="3"/>
        <v>7.4761904761905884E-3</v>
      </c>
      <c r="K6" s="28">
        <f t="shared" si="4"/>
        <v>-1.6448412698411971E-3</v>
      </c>
      <c r="M6" s="9" t="s">
        <v>54</v>
      </c>
      <c r="N6" cm="1">
        <f t="array" ref="N6">$B$1 - INDEX($D$2:$D$67, N5+1)</f>
        <v>0.25</v>
      </c>
      <c r="O6" cm="1">
        <f t="array" ref="O6">$B$1 - INDEX($D$2:$D$67, O5+1)</f>
        <v>-0.75</v>
      </c>
      <c r="P6" cm="1">
        <f t="array" ref="P6">$B$1 - INDEX($D$2:$D$67, P5+1)</f>
        <v>1.25</v>
      </c>
      <c r="Q6" cm="1">
        <f t="array" ref="Q6">$B$1 - INDEX($D$2:$D$67, Q5+1)</f>
        <v>-1.75</v>
      </c>
      <c r="R6" s="31" cm="1">
        <f t="array" ref="R6">$B$1 - INDEX($D$2:$D$67, R5+1)</f>
        <v>2.25</v>
      </c>
      <c r="S6" cm="1">
        <f t="array" ref="S6">$B$1 - INDEX($D$2:$D$67, S5+1)</f>
        <v>-2.75</v>
      </c>
    </row>
    <row r="7" spans="1:19" x14ac:dyDescent="0.15">
      <c r="C7" s="30">
        <v>5</v>
      </c>
      <c r="D7" s="1">
        <v>2018</v>
      </c>
      <c r="E7" s="1">
        <v>408.72</v>
      </c>
      <c r="F7">
        <f>ABS($B$1-D7)</f>
        <v>2.75</v>
      </c>
      <c r="G7" s="28">
        <f t="shared" si="0"/>
        <v>2.4433333333333374</v>
      </c>
      <c r="H7" s="28">
        <f t="shared" si="1"/>
        <v>6.9523809523801994E-2</v>
      </c>
      <c r="I7" s="28">
        <f t="shared" si="2"/>
        <v>4.5238095238081377E-3</v>
      </c>
      <c r="J7" s="28">
        <f t="shared" si="3"/>
        <v>-4.037698412697791E-3</v>
      </c>
      <c r="K7" s="28">
        <f t="shared" si="4"/>
        <v>-7.2718253968244418E-4</v>
      </c>
      <c r="M7" s="9" t="s">
        <v>55</v>
      </c>
      <c r="N7" s="6">
        <f>E2</f>
        <v>401.01</v>
      </c>
      <c r="O7" s="6">
        <f>N7 +G2*PRODUCT(N6:N6)</f>
        <v>401.86</v>
      </c>
      <c r="P7" s="6">
        <f>O7+H2*PRODUCT(N6:O6)</f>
        <v>401.7475</v>
      </c>
      <c r="Q7" s="6">
        <f>P7+I2*PRODUCT(N6:P6)</f>
        <v>401.835390625</v>
      </c>
      <c r="R7" s="33">
        <f>Q7+J2*PRODUCT(N6:Q6)</f>
        <v>401.77865234375003</v>
      </c>
      <c r="S7" s="6">
        <f>R7+K2*PRODUCT(N6:R6)</f>
        <v>401.82656372070318</v>
      </c>
    </row>
    <row r="8" spans="1:19" x14ac:dyDescent="0.15">
      <c r="C8" s="30">
        <v>6</v>
      </c>
      <c r="D8" s="1">
        <v>2012</v>
      </c>
      <c r="E8" s="1">
        <v>394.06</v>
      </c>
      <c r="F8">
        <f>ABS($B$1-D8)</f>
        <v>3.25</v>
      </c>
      <c r="G8" s="28">
        <f t="shared" si="0"/>
        <v>2.5128571428571393</v>
      </c>
      <c r="H8" s="28">
        <f t="shared" si="1"/>
        <v>3.7857142857145032E-2</v>
      </c>
      <c r="I8" s="28">
        <f t="shared" si="2"/>
        <v>-3.5515873015874444E-3</v>
      </c>
      <c r="J8" s="28">
        <f t="shared" si="3"/>
        <v>1.7797619047617624E-3</v>
      </c>
      <c r="K8" s="28">
        <f t="shared" si="4"/>
        <v>-3.1727994227990716E-4</v>
      </c>
      <c r="M8" s="9" t="s">
        <v>56</v>
      </c>
      <c r="N8" s="28"/>
      <c r="O8" s="28">
        <f>ABS(O7-N7)/O7</f>
        <v>2.1151644851441363E-3</v>
      </c>
      <c r="P8" s="28">
        <f t="shared" ref="P8:S8" si="5">ABS(P7-O7)/P7</f>
        <v>2.8002663364429492E-4</v>
      </c>
      <c r="Q8" s="28">
        <f t="shared" si="5"/>
        <v>2.1872295733658042E-4</v>
      </c>
      <c r="R8" s="32">
        <f t="shared" si="5"/>
        <v>1.4121775987598677E-4</v>
      </c>
      <c r="S8" s="28">
        <f t="shared" si="5"/>
        <v>1.1923397126739972E-4</v>
      </c>
    </row>
    <row r="9" spans="1:19" x14ac:dyDescent="0.15">
      <c r="C9" s="30">
        <v>7</v>
      </c>
      <c r="D9" s="1">
        <v>2019</v>
      </c>
      <c r="E9" s="1">
        <v>411.65</v>
      </c>
      <c r="F9">
        <f>ABS($B$1-D9)</f>
        <v>3.75</v>
      </c>
      <c r="G9" s="28">
        <f t="shared" si="0"/>
        <v>2.4749999999999943</v>
      </c>
      <c r="H9" s="28">
        <f t="shared" si="1"/>
        <v>9.4444444444454767E-3</v>
      </c>
      <c r="I9" s="28">
        <f t="shared" si="2"/>
        <v>-7.1111111111109692E-3</v>
      </c>
      <c r="J9" s="28">
        <f t="shared" si="3"/>
        <v>-1.0757575757574019E-3</v>
      </c>
      <c r="K9" s="28">
        <f t="shared" si="4"/>
        <v>2.9419191919194604E-4</v>
      </c>
    </row>
    <row r="10" spans="1:19" x14ac:dyDescent="0.15">
      <c r="C10" s="30">
        <v>8</v>
      </c>
      <c r="D10" s="1">
        <v>2011</v>
      </c>
      <c r="E10" s="1">
        <v>391.85</v>
      </c>
      <c r="F10">
        <f>ABS($B$1-D10)</f>
        <v>4.25</v>
      </c>
      <c r="G10" s="28">
        <f t="shared" si="0"/>
        <v>2.4844444444444398</v>
      </c>
      <c r="H10" s="28">
        <f t="shared" si="1"/>
        <v>7.3444444444444201E-2</v>
      </c>
      <c r="I10" s="28">
        <f t="shared" si="2"/>
        <v>-9.2626262626257731E-3</v>
      </c>
      <c r="J10" s="28">
        <f t="shared" si="3"/>
        <v>-4.0176767676768626E-3</v>
      </c>
      <c r="K10" s="28">
        <f t="shared" si="4"/>
        <v>3.6169386169383473E-4</v>
      </c>
    </row>
    <row r="11" spans="1:19" x14ac:dyDescent="0.15">
      <c r="C11" s="30">
        <v>9</v>
      </c>
      <c r="D11" s="1">
        <v>2020</v>
      </c>
      <c r="E11" s="1">
        <v>414.21</v>
      </c>
      <c r="F11">
        <f>ABS($B$1-D11)</f>
        <v>4.75</v>
      </c>
      <c r="G11" s="28">
        <f t="shared" si="0"/>
        <v>2.4109999999999956</v>
      </c>
      <c r="H11" s="28">
        <f t="shared" si="1"/>
        <v>-1.9181818181813526E-2</v>
      </c>
      <c r="I11" s="28">
        <f t="shared" si="2"/>
        <v>-1.227272727272047E-3</v>
      </c>
      <c r="J11" s="28">
        <f t="shared" si="3"/>
        <v>-3.9044289044680349E-5</v>
      </c>
      <c r="K11" s="28">
        <f t="shared" si="4"/>
        <v>-1.4689477189481248E-4</v>
      </c>
    </row>
    <row r="12" spans="1:19" x14ac:dyDescent="0.15">
      <c r="C12" s="30">
        <v>10</v>
      </c>
      <c r="D12" s="1">
        <v>2010</v>
      </c>
      <c r="E12" s="1">
        <v>390.1</v>
      </c>
      <c r="F12">
        <f>ABS($B$1-D12)</f>
        <v>5.25</v>
      </c>
      <c r="G12" s="28">
        <f t="shared" si="0"/>
        <v>2.3918181818181821</v>
      </c>
      <c r="H12" s="28">
        <f t="shared" si="1"/>
        <v>-5.6818181818210078E-3</v>
      </c>
      <c r="I12" s="28">
        <f t="shared" si="2"/>
        <v>-1.3053613053614077E-3</v>
      </c>
      <c r="J12" s="28">
        <f t="shared" si="3"/>
        <v>1.7236929736930695E-3</v>
      </c>
      <c r="K12" s="28">
        <f t="shared" si="4"/>
        <v>-2.1645021645014764E-5</v>
      </c>
    </row>
    <row r="13" spans="1:19" x14ac:dyDescent="0.15">
      <c r="C13" s="30">
        <v>11</v>
      </c>
      <c r="D13" s="1">
        <v>2021</v>
      </c>
      <c r="E13" s="1">
        <v>416.41</v>
      </c>
      <c r="F13">
        <f>ABS($B$1-D13)</f>
        <v>5.75</v>
      </c>
      <c r="G13" s="28">
        <f t="shared" si="0"/>
        <v>2.3975000000000031</v>
      </c>
      <c r="H13" s="28">
        <f t="shared" si="1"/>
        <v>-2.13461538461579E-2</v>
      </c>
      <c r="I13" s="28">
        <f t="shared" si="2"/>
        <v>-4.7527472527475467E-3</v>
      </c>
      <c r="J13" s="28">
        <f t="shared" si="3"/>
        <v>1.4423076923078776E-3</v>
      </c>
      <c r="K13" s="28">
        <f t="shared" si="4"/>
        <v>1.2339743589744853E-4</v>
      </c>
    </row>
    <row r="14" spans="1:19" x14ac:dyDescent="0.15">
      <c r="C14" s="30">
        <v>12</v>
      </c>
      <c r="D14" s="1">
        <v>2009</v>
      </c>
      <c r="E14" s="1">
        <v>387.64</v>
      </c>
      <c r="F14">
        <f>ABS($B$1-D14)</f>
        <v>6.25</v>
      </c>
      <c r="G14" s="28">
        <f t="shared" si="0"/>
        <v>2.3761538461538452</v>
      </c>
      <c r="H14" s="28">
        <f t="shared" si="1"/>
        <v>4.0439560439560207E-2</v>
      </c>
      <c r="I14" s="28">
        <f t="shared" si="2"/>
        <v>-1.8681318681317918E-3</v>
      </c>
      <c r="J14" s="28">
        <f t="shared" si="3"/>
        <v>-2.8525641025640177E-4</v>
      </c>
      <c r="K14" s="28">
        <f t="shared" si="4"/>
        <v>1.4070243482008297E-4</v>
      </c>
    </row>
    <row r="15" spans="1:19" x14ac:dyDescent="0.15">
      <c r="C15" s="30">
        <v>13</v>
      </c>
      <c r="D15" s="1">
        <v>2022</v>
      </c>
      <c r="E15" s="1">
        <v>418.53</v>
      </c>
      <c r="F15">
        <f>ABS($B$1-D15)</f>
        <v>6.75</v>
      </c>
      <c r="G15" s="28">
        <f t="shared" si="0"/>
        <v>2.335714285714285</v>
      </c>
      <c r="H15" s="28">
        <f t="shared" si="1"/>
        <v>1.4285714285715123E-2</v>
      </c>
      <c r="I15" s="28">
        <f t="shared" si="2"/>
        <v>-1.2976190476189883E-3</v>
      </c>
      <c r="J15" s="28">
        <f t="shared" si="3"/>
        <v>1.8252801120448425E-3</v>
      </c>
      <c r="K15" s="28">
        <f t="shared" si="4"/>
        <v>1.2505835667600529E-4</v>
      </c>
    </row>
    <row r="16" spans="1:19" x14ac:dyDescent="0.15">
      <c r="C16" s="30">
        <v>14</v>
      </c>
      <c r="D16" s="1">
        <v>2008</v>
      </c>
      <c r="E16" s="1">
        <v>385.83</v>
      </c>
      <c r="F16">
        <f>ABS($B$1-D16)</f>
        <v>7.25</v>
      </c>
      <c r="G16" s="28">
        <f t="shared" si="0"/>
        <v>2.35</v>
      </c>
      <c r="H16" s="28">
        <f t="shared" si="1"/>
        <v>3.3749999999999947E-2</v>
      </c>
      <c r="I16" s="28">
        <f t="shared" si="2"/>
        <v>2.3529411764706964E-3</v>
      </c>
      <c r="J16" s="28">
        <f t="shared" si="3"/>
        <v>-1.7565359477124225E-4</v>
      </c>
      <c r="K16" s="28">
        <f t="shared" si="4"/>
        <v>3.8699690402218216E-6</v>
      </c>
    </row>
    <row r="17" spans="3:11" x14ac:dyDescent="0.15">
      <c r="C17" s="30">
        <v>15</v>
      </c>
      <c r="D17" s="1">
        <v>2023</v>
      </c>
      <c r="E17" s="1">
        <v>421.08</v>
      </c>
      <c r="F17">
        <f>ABS($B$1-D17)</f>
        <v>7.75</v>
      </c>
      <c r="G17" s="28">
        <f t="shared" si="0"/>
        <v>2.3162500000000001</v>
      </c>
      <c r="H17" s="28">
        <f t="shared" si="1"/>
        <v>7.139705882353109E-2</v>
      </c>
      <c r="I17" s="28">
        <f t="shared" si="2"/>
        <v>2.7042483660131809E-3</v>
      </c>
      <c r="J17" s="28">
        <f t="shared" si="3"/>
        <v>-1.8726350189190771E-4</v>
      </c>
      <c r="K17" s="28">
        <f t="shared" si="4"/>
        <v>-3.0228758169874138E-5</v>
      </c>
    </row>
    <row r="18" spans="3:11" x14ac:dyDescent="0.15">
      <c r="C18" s="30">
        <v>16</v>
      </c>
      <c r="D18" s="1">
        <v>2007</v>
      </c>
      <c r="E18" s="1">
        <v>384.02</v>
      </c>
      <c r="F18">
        <f>ABS($B$1-D18)</f>
        <v>8.25</v>
      </c>
      <c r="G18" s="28">
        <f t="shared" si="0"/>
        <v>2.3876470588235312</v>
      </c>
      <c r="H18" s="28">
        <f t="shared" si="1"/>
        <v>2.542483660130701E-2</v>
      </c>
      <c r="I18" s="28">
        <f t="shared" si="2"/>
        <v>6.07499140006752E-3</v>
      </c>
      <c r="J18" s="28">
        <f t="shared" si="3"/>
        <v>3.8708290333570091E-4</v>
      </c>
      <c r="K18" s="28">
        <f t="shared" si="4"/>
        <v>-1.4101389093654681E-3</v>
      </c>
    </row>
    <row r="19" spans="3:11" x14ac:dyDescent="0.15">
      <c r="C19" s="30">
        <v>17</v>
      </c>
      <c r="D19">
        <v>2024</v>
      </c>
      <c r="E19">
        <v>424.61</v>
      </c>
      <c r="F19">
        <f>ABS($B$1-D19)</f>
        <v>8.75</v>
      </c>
      <c r="G19" s="28">
        <f t="shared" si="0"/>
        <v>2.3622222222222242</v>
      </c>
      <c r="H19" s="28">
        <f t="shared" si="1"/>
        <v>1.327485380117197E-2</v>
      </c>
      <c r="I19" s="28">
        <f t="shared" si="2"/>
        <v>4.9137426900604173E-3</v>
      </c>
      <c r="J19" s="28">
        <f t="shared" si="3"/>
        <v>6.0276385407975735E-3</v>
      </c>
      <c r="K19" s="28">
        <f t="shared" si="4"/>
        <v>4.2512562973094541E-3</v>
      </c>
    </row>
    <row r="20" spans="3:11" x14ac:dyDescent="0.15">
      <c r="C20" s="30">
        <v>18</v>
      </c>
      <c r="D20" s="1">
        <v>2006</v>
      </c>
      <c r="E20" s="1">
        <v>382.09</v>
      </c>
      <c r="F20">
        <f>ABS($B$1-D20)</f>
        <v>9.25</v>
      </c>
      <c r="G20" s="28">
        <f t="shared" si="0"/>
        <v>2.1099999999999568</v>
      </c>
      <c r="H20" s="28">
        <f t="shared" si="1"/>
        <v>-8.500000000003638E-2</v>
      </c>
      <c r="I20" s="28">
        <f t="shared" si="2"/>
        <v>-0.12166666666668864</v>
      </c>
      <c r="J20" s="28">
        <f t="shared" si="3"/>
        <v>-8.7500000000010417E-2</v>
      </c>
      <c r="K20" s="28">
        <f t="shared" si="4"/>
        <v>-3.9000000000003844E-2</v>
      </c>
    </row>
    <row r="21" spans="3:11" x14ac:dyDescent="0.15">
      <c r="C21" s="30">
        <v>19</v>
      </c>
      <c r="D21" s="1">
        <v>2005</v>
      </c>
      <c r="E21" s="1">
        <v>379.98</v>
      </c>
      <c r="F21">
        <f>ABS($B$1-D21)</f>
        <v>10.25</v>
      </c>
      <c r="G21" s="28">
        <f t="shared" si="0"/>
        <v>2.2800000000000296</v>
      </c>
      <c r="H21" s="28">
        <f t="shared" si="1"/>
        <v>0.28000000000002956</v>
      </c>
      <c r="I21" s="28">
        <f t="shared" si="2"/>
        <v>0.22833333333335304</v>
      </c>
      <c r="J21" s="28">
        <f t="shared" si="3"/>
        <v>0.10750000000000881</v>
      </c>
      <c r="K21" s="28">
        <f t="shared" si="4"/>
        <v>3.0583333333336311E-2</v>
      </c>
    </row>
    <row r="22" spans="3:11" x14ac:dyDescent="0.15">
      <c r="C22" s="30">
        <v>20</v>
      </c>
      <c r="D22" s="1">
        <v>2004</v>
      </c>
      <c r="E22" s="1">
        <v>377.7</v>
      </c>
      <c r="F22">
        <f>ABS($B$1-D22)</f>
        <v>11.25</v>
      </c>
      <c r="G22" s="28">
        <f t="shared" si="0"/>
        <v>1.7199999999999704</v>
      </c>
      <c r="H22" s="28">
        <f t="shared" si="1"/>
        <v>-0.40500000000002956</v>
      </c>
      <c r="I22" s="28">
        <f t="shared" si="2"/>
        <v>-0.2016666666666822</v>
      </c>
      <c r="J22" s="28">
        <f t="shared" si="3"/>
        <v>-4.5416666666672732E-2</v>
      </c>
      <c r="K22" s="28">
        <f t="shared" si="4"/>
        <v>-7.416666666668922E-3</v>
      </c>
    </row>
    <row r="23" spans="3:11" x14ac:dyDescent="0.15">
      <c r="C23" s="30">
        <v>21</v>
      </c>
      <c r="D23" s="1">
        <v>2003</v>
      </c>
      <c r="E23" s="1">
        <v>375.98</v>
      </c>
      <c r="F23">
        <f>ABS($B$1-D23)</f>
        <v>12.25</v>
      </c>
      <c r="G23" s="28">
        <f t="shared" si="0"/>
        <v>2.5300000000000296</v>
      </c>
      <c r="H23" s="28">
        <f t="shared" si="1"/>
        <v>0.20000000000001705</v>
      </c>
      <c r="I23" s="28">
        <f t="shared" si="2"/>
        <v>-1.9999999999991285E-2</v>
      </c>
      <c r="J23" s="28">
        <f t="shared" si="3"/>
        <v>-8.3333333333281238E-3</v>
      </c>
      <c r="K23" s="28">
        <f t="shared" si="4"/>
        <v>5.7500000000028232E-3</v>
      </c>
    </row>
    <row r="24" spans="3:11" x14ac:dyDescent="0.15">
      <c r="C24" s="30">
        <v>22</v>
      </c>
      <c r="D24" s="1">
        <v>2002</v>
      </c>
      <c r="E24" s="1">
        <v>373.45</v>
      </c>
      <c r="F24">
        <f>ABS($B$1-D24)</f>
        <v>13.25</v>
      </c>
      <c r="G24" s="28">
        <f t="shared" si="0"/>
        <v>2.1299999999999955</v>
      </c>
      <c r="H24" s="28">
        <f t="shared" si="1"/>
        <v>0.25999999999999091</v>
      </c>
      <c r="I24" s="28">
        <f t="shared" si="2"/>
        <v>1.3333333333321207E-2</v>
      </c>
      <c r="J24" s="28">
        <f t="shared" si="3"/>
        <v>-3.7083333333342239E-2</v>
      </c>
      <c r="K24" s="28">
        <f t="shared" si="4"/>
        <v>-9.4166666666708927E-3</v>
      </c>
    </row>
    <row r="25" spans="3:11" x14ac:dyDescent="0.15">
      <c r="C25" s="30">
        <v>23</v>
      </c>
      <c r="D25" s="1">
        <v>2001</v>
      </c>
      <c r="E25" s="1">
        <v>371.32</v>
      </c>
      <c r="F25">
        <f>ABS($B$1-D25)</f>
        <v>14.25</v>
      </c>
      <c r="G25" s="28">
        <f t="shared" si="0"/>
        <v>1.6100000000000136</v>
      </c>
      <c r="H25" s="28">
        <f t="shared" si="1"/>
        <v>0.22000000000002728</v>
      </c>
      <c r="I25" s="28">
        <f t="shared" si="2"/>
        <v>0.16166666666669016</v>
      </c>
      <c r="J25" s="28">
        <f t="shared" si="3"/>
        <v>1.0000000000012221E-2</v>
      </c>
      <c r="K25" s="28">
        <f t="shared" si="4"/>
        <v>-2.9749999999995679E-2</v>
      </c>
    </row>
    <row r="26" spans="3:11" x14ac:dyDescent="0.15">
      <c r="C26" s="30">
        <v>24</v>
      </c>
      <c r="D26" s="1">
        <v>2000</v>
      </c>
      <c r="E26" s="1">
        <v>369.71</v>
      </c>
      <c r="F26">
        <f>ABS($B$1-D26)</f>
        <v>15.25</v>
      </c>
      <c r="G26" s="28">
        <f t="shared" si="0"/>
        <v>1.1699999999999591</v>
      </c>
      <c r="H26" s="28">
        <f t="shared" si="1"/>
        <v>-0.2650000000000432</v>
      </c>
      <c r="I26" s="28">
        <f t="shared" si="2"/>
        <v>0.12166666666664128</v>
      </c>
      <c r="J26" s="28">
        <f t="shared" si="3"/>
        <v>0.15874999999999062</v>
      </c>
      <c r="K26" s="28">
        <f t="shared" si="4"/>
        <v>7.7833333333330756E-2</v>
      </c>
    </row>
    <row r="27" spans="3:11" x14ac:dyDescent="0.15">
      <c r="C27" s="30">
        <v>25</v>
      </c>
      <c r="D27" s="1">
        <v>1999</v>
      </c>
      <c r="E27" s="1">
        <v>368.54</v>
      </c>
      <c r="F27">
        <f>ABS($B$1-D27)</f>
        <v>16.25</v>
      </c>
      <c r="G27" s="28">
        <f t="shared" si="0"/>
        <v>1.7000000000000455</v>
      </c>
      <c r="H27" s="28">
        <f t="shared" si="1"/>
        <v>-0.62999999999996703</v>
      </c>
      <c r="I27" s="28">
        <f t="shared" si="2"/>
        <v>-0.51333333333332121</v>
      </c>
      <c r="J27" s="28">
        <f t="shared" si="3"/>
        <v>-0.23041666666666316</v>
      </c>
      <c r="K27" s="28">
        <f t="shared" si="4"/>
        <v>-6.9749999999998619E-2</v>
      </c>
    </row>
    <row r="28" spans="3:11" x14ac:dyDescent="0.15">
      <c r="C28" s="30">
        <v>26</v>
      </c>
      <c r="D28" s="1">
        <v>1998</v>
      </c>
      <c r="E28" s="1">
        <v>366.84</v>
      </c>
      <c r="F28">
        <f>ABS($B$1-D28)</f>
        <v>17.25</v>
      </c>
      <c r="G28" s="28">
        <f t="shared" si="0"/>
        <v>2.9599999999999795</v>
      </c>
      <c r="H28" s="28">
        <f t="shared" si="1"/>
        <v>0.90999999999999659</v>
      </c>
      <c r="I28" s="28">
        <f t="shared" si="2"/>
        <v>0.40833333333333144</v>
      </c>
      <c r="J28" s="28">
        <f t="shared" si="3"/>
        <v>0.11833333333332992</v>
      </c>
      <c r="K28" s="28">
        <f t="shared" si="4"/>
        <v>2.2749999999997782E-2</v>
      </c>
    </row>
    <row r="29" spans="3:11" x14ac:dyDescent="0.15">
      <c r="C29" s="30">
        <v>27</v>
      </c>
      <c r="D29" s="1">
        <v>1997</v>
      </c>
      <c r="E29" s="1">
        <v>363.88</v>
      </c>
      <c r="F29">
        <f>ABS($B$1-D29)</f>
        <v>18.25</v>
      </c>
      <c r="G29" s="28">
        <f t="shared" si="0"/>
        <v>1.1399999999999864</v>
      </c>
      <c r="H29" s="28">
        <f t="shared" si="1"/>
        <v>-0.31499999999999773</v>
      </c>
      <c r="I29" s="28">
        <f t="shared" si="2"/>
        <v>-6.4999999999988248E-2</v>
      </c>
      <c r="J29" s="28">
        <f t="shared" si="3"/>
        <v>4.5833333333410095E-3</v>
      </c>
      <c r="K29" s="28">
        <f t="shared" si="4"/>
        <v>-1.7499999999974598E-3</v>
      </c>
    </row>
    <row r="30" spans="3:11" x14ac:dyDescent="0.15">
      <c r="C30" s="30">
        <v>28</v>
      </c>
      <c r="D30" s="1">
        <v>1996</v>
      </c>
      <c r="E30" s="1">
        <v>362.74</v>
      </c>
      <c r="F30">
        <f>ABS($B$1-D30)</f>
        <v>19.25</v>
      </c>
      <c r="G30" s="28">
        <f t="shared" si="0"/>
        <v>1.7699999999999818</v>
      </c>
      <c r="H30" s="28">
        <f t="shared" si="1"/>
        <v>-0.12000000000003297</v>
      </c>
      <c r="I30" s="28">
        <f t="shared" si="2"/>
        <v>-8.3333333333352286E-2</v>
      </c>
      <c r="J30" s="28">
        <f t="shared" si="3"/>
        <v>1.3333333333328309E-2</v>
      </c>
      <c r="K30" s="28">
        <f t="shared" si="4"/>
        <v>1.9916666666666551E-2</v>
      </c>
    </row>
    <row r="31" spans="3:11" x14ac:dyDescent="0.15">
      <c r="C31" s="30">
        <v>29</v>
      </c>
      <c r="D31" s="1">
        <v>1995</v>
      </c>
      <c r="E31" s="1">
        <v>360.97</v>
      </c>
      <c r="F31">
        <f>ABS($B$1-D31)</f>
        <v>20.25</v>
      </c>
      <c r="G31" s="28">
        <f t="shared" si="0"/>
        <v>2.0100000000000477</v>
      </c>
      <c r="H31" s="28">
        <f t="shared" si="1"/>
        <v>0.13000000000002387</v>
      </c>
      <c r="I31" s="28">
        <f t="shared" si="2"/>
        <v>-0.13666666666666552</v>
      </c>
      <c r="J31" s="28">
        <f t="shared" si="3"/>
        <v>-8.6250000000004448E-2</v>
      </c>
      <c r="K31" s="28">
        <f t="shared" si="4"/>
        <v>-2.5666666666669374E-2</v>
      </c>
    </row>
    <row r="32" spans="3:11" x14ac:dyDescent="0.15">
      <c r="C32" s="30">
        <v>30</v>
      </c>
      <c r="D32" s="1">
        <v>1994</v>
      </c>
      <c r="E32" s="1">
        <v>358.96</v>
      </c>
      <c r="F32">
        <f>ABS($B$1-D32)</f>
        <v>21.25</v>
      </c>
      <c r="G32" s="28">
        <f t="shared" si="0"/>
        <v>1.75</v>
      </c>
      <c r="H32" s="28">
        <f t="shared" si="1"/>
        <v>0.54000000000002046</v>
      </c>
      <c r="I32" s="28">
        <f t="shared" si="2"/>
        <v>0.20833333333335227</v>
      </c>
      <c r="J32" s="28">
        <f t="shared" si="3"/>
        <v>4.2083333333342424E-2</v>
      </c>
      <c r="K32" s="28">
        <f t="shared" si="4"/>
        <v>3.0000000000029543E-3</v>
      </c>
    </row>
    <row r="33" spans="3:11" x14ac:dyDescent="0.15">
      <c r="C33" s="30">
        <v>31</v>
      </c>
      <c r="D33" s="1">
        <v>1993</v>
      </c>
      <c r="E33" s="1">
        <v>357.21</v>
      </c>
      <c r="F33">
        <f>ABS($B$1-D33)</f>
        <v>22.25</v>
      </c>
      <c r="G33" s="28">
        <f t="shared" si="0"/>
        <v>0.66999999999995907</v>
      </c>
      <c r="H33" s="28">
        <f t="shared" si="1"/>
        <v>-8.500000000003638E-2</v>
      </c>
      <c r="I33" s="28">
        <f t="shared" si="2"/>
        <v>3.999999999998257E-2</v>
      </c>
      <c r="J33" s="28">
        <f t="shared" si="3"/>
        <v>2.7083333333327651E-2</v>
      </c>
      <c r="K33" s="28">
        <f t="shared" si="4"/>
        <v>1.0999999999998521E-2</v>
      </c>
    </row>
    <row r="34" spans="3:11" x14ac:dyDescent="0.15">
      <c r="C34" s="30">
        <v>32</v>
      </c>
      <c r="D34" s="1">
        <v>1992</v>
      </c>
      <c r="E34" s="1">
        <v>356.54</v>
      </c>
      <c r="F34">
        <f>ABS($B$1-D34)</f>
        <v>23.25</v>
      </c>
      <c r="G34" s="28">
        <f t="shared" si="0"/>
        <v>0.84000000000003183</v>
      </c>
      <c r="H34" s="28">
        <f t="shared" si="1"/>
        <v>-0.20499999999998408</v>
      </c>
      <c r="I34" s="28">
        <f t="shared" si="2"/>
        <v>-6.8333333333328028E-2</v>
      </c>
      <c r="J34" s="28">
        <f t="shared" si="3"/>
        <v>-2.7916666666664959E-2</v>
      </c>
      <c r="K34" s="28">
        <f t="shared" si="4"/>
        <v>-2.6666666666661353E-3</v>
      </c>
    </row>
    <row r="35" spans="3:11" x14ac:dyDescent="0.15">
      <c r="C35" s="30">
        <v>33</v>
      </c>
      <c r="D35" s="1">
        <v>1991</v>
      </c>
      <c r="E35" s="1">
        <v>355.7</v>
      </c>
      <c r="F35">
        <f>ABS($B$1-D35)</f>
        <v>24.25</v>
      </c>
      <c r="G35" s="28">
        <f t="shared" si="0"/>
        <v>1.25</v>
      </c>
      <c r="H35" s="28">
        <f t="shared" si="1"/>
        <v>0</v>
      </c>
      <c r="I35" s="28">
        <f t="shared" si="2"/>
        <v>4.3333333333331815E-2</v>
      </c>
      <c r="J35" s="28">
        <f t="shared" si="3"/>
        <v>-1.4583333333334282E-2</v>
      </c>
      <c r="K35" s="28">
        <f t="shared" si="4"/>
        <v>-2.0916666666667066E-2</v>
      </c>
    </row>
    <row r="36" spans="3:11" x14ac:dyDescent="0.15">
      <c r="C36" s="30">
        <v>34</v>
      </c>
      <c r="D36" s="1">
        <v>1990</v>
      </c>
      <c r="E36" s="1">
        <v>354.45</v>
      </c>
      <c r="F36">
        <f>ABS($B$1-D36)</f>
        <v>25.25</v>
      </c>
      <c r="G36" s="28">
        <f t="shared" si="0"/>
        <v>1.25</v>
      </c>
      <c r="H36" s="28">
        <f t="shared" si="1"/>
        <v>-0.12999999999999545</v>
      </c>
      <c r="I36" s="28">
        <f t="shared" si="2"/>
        <v>0.10166666666666895</v>
      </c>
      <c r="J36" s="28">
        <f t="shared" si="3"/>
        <v>9.0000000000001051E-2</v>
      </c>
      <c r="K36" s="28">
        <f t="shared" si="4"/>
        <v>3.2916666666667052E-2</v>
      </c>
    </row>
    <row r="37" spans="3:11" x14ac:dyDescent="0.15">
      <c r="C37" s="30">
        <v>35</v>
      </c>
      <c r="D37" s="1">
        <v>1989</v>
      </c>
      <c r="E37" s="1">
        <v>353.2</v>
      </c>
      <c r="F37">
        <f>ABS($B$1-D37)</f>
        <v>26.25</v>
      </c>
      <c r="G37" s="28">
        <f t="shared" si="0"/>
        <v>1.5099999999999909</v>
      </c>
      <c r="H37" s="28">
        <f t="shared" si="1"/>
        <v>-0.43500000000000227</v>
      </c>
      <c r="I37" s="28">
        <f t="shared" si="2"/>
        <v>-0.25833333333333525</v>
      </c>
      <c r="J37" s="28">
        <f t="shared" si="3"/>
        <v>-7.4583333333334195E-2</v>
      </c>
      <c r="K37" s="28">
        <f t="shared" si="4"/>
        <v>-1.1416666666666707E-2</v>
      </c>
    </row>
    <row r="38" spans="3:11" x14ac:dyDescent="0.15">
      <c r="C38" s="30">
        <v>36</v>
      </c>
      <c r="D38" s="1">
        <v>1988</v>
      </c>
      <c r="E38" s="1">
        <v>351.69</v>
      </c>
      <c r="F38">
        <f>ABS($B$1-D38)</f>
        <v>27.25</v>
      </c>
      <c r="G38" s="28">
        <f t="shared" si="0"/>
        <v>2.3799999999999955</v>
      </c>
      <c r="H38" s="28">
        <f t="shared" si="1"/>
        <v>0.34000000000000341</v>
      </c>
      <c r="I38" s="28">
        <f t="shared" si="2"/>
        <v>4.0000000000001514E-2</v>
      </c>
      <c r="J38" s="28">
        <f t="shared" si="3"/>
        <v>-1.7500000000000661E-2</v>
      </c>
      <c r="K38" s="28">
        <f t="shared" si="4"/>
        <v>-8.8333333333338263E-3</v>
      </c>
    </row>
    <row r="39" spans="3:11" x14ac:dyDescent="0.15">
      <c r="C39" s="30">
        <v>37</v>
      </c>
      <c r="D39" s="1">
        <v>1987</v>
      </c>
      <c r="E39" s="1">
        <v>349.31</v>
      </c>
      <c r="F39">
        <f>ABS($B$1-D39)</f>
        <v>28.25</v>
      </c>
      <c r="G39" s="28">
        <f t="shared" si="0"/>
        <v>1.6999999999999886</v>
      </c>
      <c r="H39" s="28">
        <f t="shared" si="1"/>
        <v>0.21999999999999886</v>
      </c>
      <c r="I39" s="28">
        <f t="shared" si="2"/>
        <v>0.11000000000000416</v>
      </c>
      <c r="J39" s="28">
        <f t="shared" si="3"/>
        <v>2.6666666666668466E-2</v>
      </c>
      <c r="K39" s="28">
        <f t="shared" si="4"/>
        <v>2.7499999999998671E-3</v>
      </c>
    </row>
    <row r="40" spans="3:11" x14ac:dyDescent="0.15">
      <c r="C40" s="30">
        <v>38</v>
      </c>
      <c r="D40" s="1">
        <v>1986</v>
      </c>
      <c r="E40" s="1">
        <v>347.61</v>
      </c>
      <c r="F40">
        <f>ABS($B$1-D40)</f>
        <v>29.25</v>
      </c>
      <c r="G40" s="28">
        <f t="shared" si="0"/>
        <v>1.2599999999999909</v>
      </c>
      <c r="H40" s="28">
        <f t="shared" si="1"/>
        <v>-0.11000000000001364</v>
      </c>
      <c r="I40" s="28">
        <f t="shared" si="2"/>
        <v>3.3333333333303017E-3</v>
      </c>
      <c r="J40" s="28">
        <f t="shared" si="3"/>
        <v>1.291666666666913E-2</v>
      </c>
      <c r="K40" s="28">
        <f t="shared" si="4"/>
        <v>2.8333333333354933E-3</v>
      </c>
    </row>
    <row r="41" spans="3:11" x14ac:dyDescent="0.15">
      <c r="C41" s="30">
        <v>39</v>
      </c>
      <c r="D41" s="1">
        <v>1985</v>
      </c>
      <c r="E41" s="1">
        <v>346.35</v>
      </c>
      <c r="F41">
        <f>ABS($B$1-D41)</f>
        <v>30.25</v>
      </c>
      <c r="G41" s="28">
        <f t="shared" si="0"/>
        <v>1.4800000000000182</v>
      </c>
      <c r="H41" s="28">
        <f t="shared" si="1"/>
        <v>-0.12000000000000455</v>
      </c>
      <c r="I41" s="28">
        <f t="shared" si="2"/>
        <v>-4.8333333333346218E-2</v>
      </c>
      <c r="J41" s="28">
        <f t="shared" si="3"/>
        <v>-1.2500000000083365E-3</v>
      </c>
      <c r="K41" s="28">
        <f t="shared" si="4"/>
        <v>4.4999999999968555E-3</v>
      </c>
    </row>
    <row r="42" spans="3:11" x14ac:dyDescent="0.15">
      <c r="C42" s="30">
        <v>40</v>
      </c>
      <c r="D42" s="1">
        <v>1984</v>
      </c>
      <c r="E42" s="1">
        <v>344.87</v>
      </c>
      <c r="F42">
        <f>ABS($B$1-D42)</f>
        <v>31.25</v>
      </c>
      <c r="G42" s="28">
        <f t="shared" si="0"/>
        <v>1.7200000000000273</v>
      </c>
      <c r="H42" s="28">
        <f t="shared" si="1"/>
        <v>2.5000000000034106E-2</v>
      </c>
      <c r="I42" s="28">
        <f t="shared" si="2"/>
        <v>-4.3333333333312872E-2</v>
      </c>
      <c r="J42" s="28">
        <f t="shared" si="3"/>
        <v>-2.374999999999261E-2</v>
      </c>
      <c r="K42" s="28">
        <f t="shared" si="4"/>
        <v>-2.666666666664715E-3</v>
      </c>
    </row>
    <row r="43" spans="3:11" x14ac:dyDescent="0.15">
      <c r="C43" s="30">
        <v>41</v>
      </c>
      <c r="D43" s="1">
        <v>1983</v>
      </c>
      <c r="E43" s="1">
        <v>343.15</v>
      </c>
      <c r="F43">
        <f>ABS($B$1-D43)</f>
        <v>32.25</v>
      </c>
      <c r="G43" s="28">
        <f t="shared" si="0"/>
        <v>1.6699999999999591</v>
      </c>
      <c r="H43" s="28">
        <f t="shared" si="1"/>
        <v>0.15499999999997272</v>
      </c>
      <c r="I43" s="28">
        <f t="shared" si="2"/>
        <v>5.1666666666657569E-2</v>
      </c>
      <c r="J43" s="28">
        <f t="shared" si="3"/>
        <v>-1.0416666666669036E-2</v>
      </c>
      <c r="K43" s="28">
        <f t="shared" si="4"/>
        <v>-1.550000000000106E-2</v>
      </c>
    </row>
    <row r="44" spans="3:11" x14ac:dyDescent="0.15">
      <c r="C44" s="30">
        <v>42</v>
      </c>
      <c r="D44" s="1">
        <v>1982</v>
      </c>
      <c r="E44" s="1">
        <v>341.48</v>
      </c>
      <c r="F44">
        <f>ABS($B$1-D44)</f>
        <v>33.25</v>
      </c>
      <c r="G44" s="28">
        <f t="shared" si="0"/>
        <v>1.3600000000000136</v>
      </c>
      <c r="H44" s="28">
        <f t="shared" si="1"/>
        <v>0</v>
      </c>
      <c r="I44" s="28">
        <f t="shared" si="2"/>
        <v>9.3333333333333712E-2</v>
      </c>
      <c r="J44" s="28">
        <f t="shared" si="3"/>
        <v>6.708333333333627E-2</v>
      </c>
      <c r="K44" s="28">
        <f t="shared" si="4"/>
        <v>2.7416666666669209E-2</v>
      </c>
    </row>
    <row r="45" spans="3:11" x14ac:dyDescent="0.15">
      <c r="C45" s="30">
        <v>43</v>
      </c>
      <c r="D45" s="1">
        <v>1981</v>
      </c>
      <c r="E45" s="1">
        <v>340.12</v>
      </c>
      <c r="F45">
        <f>ABS($B$1-D45)</f>
        <v>34.25</v>
      </c>
      <c r="G45" s="28">
        <f t="shared" si="0"/>
        <v>1.3600000000000136</v>
      </c>
      <c r="H45" s="28">
        <f t="shared" si="1"/>
        <v>-0.28000000000000114</v>
      </c>
      <c r="I45" s="28">
        <f t="shared" si="2"/>
        <v>-0.17500000000001137</v>
      </c>
      <c r="J45" s="28">
        <f t="shared" si="3"/>
        <v>-7.0000000000009763E-2</v>
      </c>
      <c r="K45" s="28">
        <f t="shared" si="4"/>
        <v>-1.8416666666671234E-2</v>
      </c>
    </row>
    <row r="46" spans="3:11" x14ac:dyDescent="0.15">
      <c r="C46" s="30">
        <v>44</v>
      </c>
      <c r="D46" s="1">
        <v>1980</v>
      </c>
      <c r="E46" s="1">
        <v>338.76</v>
      </c>
      <c r="F46">
        <f>ABS($B$1-D46)</f>
        <v>35.25</v>
      </c>
      <c r="G46" s="28">
        <f t="shared" si="0"/>
        <v>1.9200000000000159</v>
      </c>
      <c r="H46" s="28">
        <f t="shared" si="1"/>
        <v>0.24500000000003297</v>
      </c>
      <c r="I46" s="28">
        <f t="shared" si="2"/>
        <v>0.10500000000002767</v>
      </c>
      <c r="J46" s="28">
        <f t="shared" si="3"/>
        <v>2.208333333334641E-2</v>
      </c>
      <c r="K46" s="28">
        <f t="shared" si="4"/>
        <v>-5.9999999999959643E-3</v>
      </c>
    </row>
    <row r="47" spans="3:11" x14ac:dyDescent="0.15">
      <c r="C47" s="30">
        <v>45</v>
      </c>
      <c r="D47" s="1">
        <v>1979</v>
      </c>
      <c r="E47" s="1">
        <v>336.84</v>
      </c>
      <c r="F47">
        <f>ABS($B$1-D47)</f>
        <v>36.25</v>
      </c>
      <c r="G47" s="28">
        <f t="shared" si="0"/>
        <v>1.42999999999995</v>
      </c>
      <c r="H47" s="28">
        <f t="shared" si="1"/>
        <v>-7.0000000000050022E-2</v>
      </c>
      <c r="I47" s="28">
        <f t="shared" si="2"/>
        <v>1.6666666666642033E-2</v>
      </c>
      <c r="J47" s="28">
        <f t="shared" si="3"/>
        <v>5.208333333332623E-2</v>
      </c>
      <c r="K47" s="28">
        <f t="shared" si="4"/>
        <v>2.7916666666665434E-2</v>
      </c>
    </row>
    <row r="48" spans="3:11" x14ac:dyDescent="0.15">
      <c r="C48" s="30">
        <v>46</v>
      </c>
      <c r="D48" s="1">
        <v>1978</v>
      </c>
      <c r="E48" s="1">
        <v>335.41</v>
      </c>
      <c r="F48">
        <f>ABS($B$1-D48)</f>
        <v>37.25</v>
      </c>
      <c r="G48" s="28">
        <f t="shared" si="0"/>
        <v>1.57000000000005</v>
      </c>
      <c r="H48" s="28">
        <f t="shared" si="1"/>
        <v>-0.11999999999997613</v>
      </c>
      <c r="I48" s="28">
        <f t="shared" si="2"/>
        <v>-0.19166666666666288</v>
      </c>
      <c r="J48" s="28">
        <f t="shared" si="3"/>
        <v>-8.7500000000000938E-2</v>
      </c>
      <c r="K48" s="28">
        <f t="shared" si="4"/>
        <v>-2.9333333333334127E-2</v>
      </c>
    </row>
    <row r="49" spans="3:11" x14ac:dyDescent="0.15">
      <c r="C49" s="30">
        <v>47</v>
      </c>
      <c r="D49" s="1">
        <v>1977</v>
      </c>
      <c r="E49" s="1">
        <v>333.84</v>
      </c>
      <c r="F49">
        <f>ABS($B$1-D49)</f>
        <v>38.25</v>
      </c>
      <c r="G49" s="28">
        <f t="shared" si="0"/>
        <v>1.8100000000000023</v>
      </c>
      <c r="H49" s="28">
        <f t="shared" si="1"/>
        <v>0.45500000000001251</v>
      </c>
      <c r="I49" s="28">
        <f t="shared" si="2"/>
        <v>0.1583333333333409</v>
      </c>
      <c r="J49" s="28">
        <f t="shared" si="3"/>
        <v>5.9166666666669698E-2</v>
      </c>
      <c r="K49" s="28">
        <f t="shared" si="4"/>
        <v>3.3583333333334527E-2</v>
      </c>
    </row>
    <row r="50" spans="3:11" x14ac:dyDescent="0.15">
      <c r="C50" s="30">
        <v>48</v>
      </c>
      <c r="D50" s="1">
        <v>1976</v>
      </c>
      <c r="E50" s="1">
        <v>332.03</v>
      </c>
      <c r="F50">
        <f>ABS($B$1-D50)</f>
        <v>39.25</v>
      </c>
      <c r="G50" s="28">
        <f t="shared" si="0"/>
        <v>0.89999999999997726</v>
      </c>
      <c r="H50" s="28">
        <f t="shared" si="1"/>
        <v>-2.0000000000010232E-2</v>
      </c>
      <c r="I50" s="28">
        <f t="shared" si="2"/>
        <v>-7.8333333333337876E-2</v>
      </c>
      <c r="J50" s="28">
        <f t="shared" si="3"/>
        <v>-0.10875000000000293</v>
      </c>
      <c r="K50" s="28">
        <f t="shared" si="4"/>
        <v>-6.283333333333492E-2</v>
      </c>
    </row>
    <row r="51" spans="3:11" x14ac:dyDescent="0.15">
      <c r="C51" s="30">
        <v>49</v>
      </c>
      <c r="D51" s="1">
        <v>1975</v>
      </c>
      <c r="E51" s="1">
        <v>331.13</v>
      </c>
      <c r="F51">
        <f>ABS($B$1-D51)</f>
        <v>40.25</v>
      </c>
      <c r="G51" s="28">
        <f t="shared" si="0"/>
        <v>0.93999999999999773</v>
      </c>
      <c r="H51" s="28">
        <f t="shared" si="1"/>
        <v>0.21500000000000341</v>
      </c>
      <c r="I51" s="28">
        <f t="shared" si="2"/>
        <v>0.35666666666667385</v>
      </c>
      <c r="J51" s="28">
        <f t="shared" si="3"/>
        <v>0.20541666666667169</v>
      </c>
      <c r="K51" s="28">
        <f t="shared" si="4"/>
        <v>6.9166666666668666E-2</v>
      </c>
    </row>
    <row r="52" spans="3:11" x14ac:dyDescent="0.15">
      <c r="C52" s="30">
        <v>50</v>
      </c>
      <c r="D52" s="1">
        <v>1974</v>
      </c>
      <c r="E52" s="1">
        <v>330.19</v>
      </c>
      <c r="F52">
        <f>ABS($B$1-D52)</f>
        <v>41.25</v>
      </c>
      <c r="G52" s="28">
        <f t="shared" si="0"/>
        <v>0.50999999999999091</v>
      </c>
      <c r="H52" s="28">
        <f t="shared" si="1"/>
        <v>-0.85500000000001819</v>
      </c>
      <c r="I52" s="28">
        <f t="shared" si="2"/>
        <v>-0.4650000000000129</v>
      </c>
      <c r="J52" s="28">
        <f t="shared" si="3"/>
        <v>-0.1404166666666716</v>
      </c>
      <c r="K52" s="28">
        <f t="shared" si="4"/>
        <v>-2.5250000000001195E-2</v>
      </c>
    </row>
    <row r="53" spans="3:11" x14ac:dyDescent="0.15">
      <c r="C53" s="30">
        <v>51</v>
      </c>
      <c r="D53" s="1">
        <v>1973</v>
      </c>
      <c r="E53" s="1">
        <v>329.68</v>
      </c>
      <c r="F53">
        <f>ABS($B$1-D53)</f>
        <v>42.25</v>
      </c>
      <c r="G53" s="28">
        <f t="shared" si="0"/>
        <v>2.2200000000000273</v>
      </c>
      <c r="H53" s="28">
        <f t="shared" si="1"/>
        <v>0.54000000000002046</v>
      </c>
      <c r="I53" s="28">
        <f t="shared" si="2"/>
        <v>9.6666666666673493E-2</v>
      </c>
      <c r="J53" s="28">
        <f t="shared" si="3"/>
        <v>-1.4166666666665623E-2</v>
      </c>
      <c r="K53" s="28">
        <f t="shared" si="4"/>
        <v>-9.7500000000001336E-3</v>
      </c>
    </row>
    <row r="54" spans="3:11" x14ac:dyDescent="0.15">
      <c r="C54" s="30">
        <v>52</v>
      </c>
      <c r="D54" s="1">
        <v>1972</v>
      </c>
      <c r="E54" s="1">
        <v>327.45999999999998</v>
      </c>
      <c r="F54">
        <f>ABS($B$1-D54)</f>
        <v>43.25</v>
      </c>
      <c r="G54" s="28">
        <f t="shared" si="0"/>
        <v>1.1399999999999864</v>
      </c>
      <c r="H54" s="28">
        <f t="shared" si="1"/>
        <v>0.25</v>
      </c>
      <c r="I54" s="28">
        <f t="shared" si="2"/>
        <v>0.15333333333333599</v>
      </c>
      <c r="J54" s="28">
        <f t="shared" si="3"/>
        <v>3.4583333333335041E-2</v>
      </c>
      <c r="K54" s="28">
        <f t="shared" si="4"/>
        <v>-3.9166666666659456E-3</v>
      </c>
    </row>
    <row r="55" spans="3:11" x14ac:dyDescent="0.15">
      <c r="C55" s="30">
        <v>53</v>
      </c>
      <c r="D55" s="1">
        <v>1971</v>
      </c>
      <c r="E55" s="1">
        <v>326.32</v>
      </c>
      <c r="F55">
        <f>ABS($B$1-D55)</f>
        <v>44.25</v>
      </c>
      <c r="G55" s="28">
        <f t="shared" si="0"/>
        <v>0.63999999999998636</v>
      </c>
      <c r="H55" s="28">
        <f t="shared" si="1"/>
        <v>-0.21000000000000796</v>
      </c>
      <c r="I55" s="28">
        <f t="shared" si="2"/>
        <v>1.4999999999995831E-2</v>
      </c>
      <c r="J55" s="28">
        <f t="shared" si="3"/>
        <v>5.4166666666664767E-2</v>
      </c>
      <c r="K55" s="28">
        <f t="shared" si="4"/>
        <v>2.6249999999999336E-2</v>
      </c>
    </row>
    <row r="56" spans="3:11" x14ac:dyDescent="0.15">
      <c r="C56" s="30">
        <v>54</v>
      </c>
      <c r="D56" s="1">
        <v>1970</v>
      </c>
      <c r="E56" s="1">
        <v>325.68</v>
      </c>
      <c r="F56">
        <f>ABS($B$1-D56)</f>
        <v>45.25</v>
      </c>
      <c r="G56" s="28">
        <f t="shared" si="0"/>
        <v>1.0600000000000023</v>
      </c>
      <c r="H56" s="28">
        <f t="shared" si="1"/>
        <v>-0.25499999999999545</v>
      </c>
      <c r="I56" s="28">
        <f t="shared" si="2"/>
        <v>-0.20166666666666325</v>
      </c>
      <c r="J56" s="28">
        <f t="shared" si="3"/>
        <v>-7.7083333333331908E-2</v>
      </c>
      <c r="K56" s="28">
        <f t="shared" si="4"/>
        <v>-1.5916666666666402E-2</v>
      </c>
    </row>
    <row r="57" spans="3:11" x14ac:dyDescent="0.15">
      <c r="C57" s="30">
        <v>55</v>
      </c>
      <c r="D57" s="1">
        <v>1969</v>
      </c>
      <c r="E57" s="1">
        <v>324.62</v>
      </c>
      <c r="F57">
        <f>ABS($B$1-D57)</f>
        <v>46.25</v>
      </c>
      <c r="G57" s="28">
        <f t="shared" si="0"/>
        <v>1.5699999999999932</v>
      </c>
      <c r="H57" s="28">
        <f t="shared" si="1"/>
        <v>0.34999999999999432</v>
      </c>
      <c r="I57" s="28">
        <f t="shared" si="2"/>
        <v>0.1066666666666644</v>
      </c>
      <c r="J57" s="28">
        <f t="shared" si="3"/>
        <v>2.5000000000000959E-3</v>
      </c>
      <c r="K57" s="28">
        <f t="shared" si="4"/>
        <v>-1.6249999999999428E-2</v>
      </c>
    </row>
    <row r="58" spans="3:11" x14ac:dyDescent="0.15">
      <c r="C58" s="30">
        <v>56</v>
      </c>
      <c r="D58" s="1">
        <v>1968</v>
      </c>
      <c r="E58" s="1">
        <v>323.05</v>
      </c>
      <c r="F58">
        <f>ABS($B$1-D58)</f>
        <v>47.25</v>
      </c>
      <c r="G58" s="28">
        <f t="shared" si="0"/>
        <v>0.87000000000000455</v>
      </c>
      <c r="H58" s="28">
        <f t="shared" si="1"/>
        <v>3.0000000000001137E-2</v>
      </c>
      <c r="I58" s="28">
        <f t="shared" si="2"/>
        <v>9.6666666666664014E-2</v>
      </c>
      <c r="J58" s="28">
        <f t="shared" si="3"/>
        <v>8.3749999999997243E-2</v>
      </c>
      <c r="K58" s="28">
        <f t="shared" si="4"/>
        <v>3.7999999999998597E-2</v>
      </c>
    </row>
    <row r="59" spans="3:11" x14ac:dyDescent="0.15">
      <c r="C59" s="30">
        <v>57</v>
      </c>
      <c r="D59" s="1">
        <v>1967</v>
      </c>
      <c r="E59" s="1">
        <v>322.18</v>
      </c>
      <c r="F59">
        <f>ABS($B$1-D59)</f>
        <v>48.25</v>
      </c>
      <c r="G59" s="28">
        <f t="shared" si="0"/>
        <v>0.81000000000000227</v>
      </c>
      <c r="H59" s="28">
        <f t="shared" si="1"/>
        <v>-0.25999999999999091</v>
      </c>
      <c r="I59" s="28">
        <f t="shared" si="2"/>
        <v>-0.23833333333332499</v>
      </c>
      <c r="J59" s="28">
        <f t="shared" si="3"/>
        <v>-0.10624999999999574</v>
      </c>
      <c r="K59" s="28">
        <f t="shared" si="4"/>
        <v>-3.3083333333331667E-2</v>
      </c>
    </row>
    <row r="60" spans="3:11" x14ac:dyDescent="0.15">
      <c r="C60" s="30">
        <v>58</v>
      </c>
      <c r="D60" s="1">
        <v>1966</v>
      </c>
      <c r="E60" s="1">
        <v>321.37</v>
      </c>
      <c r="F60">
        <f>ABS($B$1-D60)</f>
        <v>49.25</v>
      </c>
      <c r="G60" s="28">
        <f t="shared" si="0"/>
        <v>1.3299999999999841</v>
      </c>
      <c r="H60" s="28">
        <f t="shared" si="1"/>
        <v>0.45499999999998408</v>
      </c>
      <c r="I60" s="28">
        <f t="shared" si="2"/>
        <v>0.18666666666665796</v>
      </c>
      <c r="J60" s="28">
        <f t="shared" si="3"/>
        <v>5.9166666666662593E-2</v>
      </c>
      <c r="K60" s="28">
        <f t="shared" si="4"/>
        <v>1.7333333333331778E-2</v>
      </c>
    </row>
    <row r="61" spans="3:11" x14ac:dyDescent="0.15">
      <c r="C61" s="30">
        <v>59</v>
      </c>
      <c r="D61" s="1">
        <v>1965</v>
      </c>
      <c r="E61" s="1">
        <v>320.04000000000002</v>
      </c>
      <c r="F61">
        <f>ABS($B$1-D61)</f>
        <v>50.25</v>
      </c>
      <c r="G61" s="28">
        <f t="shared" si="0"/>
        <v>0.42000000000001592</v>
      </c>
      <c r="H61" s="28">
        <f t="shared" si="1"/>
        <v>-0.10499999999998977</v>
      </c>
      <c r="I61" s="28">
        <f t="shared" si="2"/>
        <v>-4.9999999999992419E-2</v>
      </c>
      <c r="J61" s="28">
        <f t="shared" si="3"/>
        <v>-2.7499999999996305E-2</v>
      </c>
      <c r="K61" s="28">
        <f t="shared" si="4"/>
        <v>-1.1416666666665758E-2</v>
      </c>
    </row>
    <row r="62" spans="3:11" x14ac:dyDescent="0.15">
      <c r="C62" s="30">
        <v>60</v>
      </c>
      <c r="D62" s="1">
        <v>1964</v>
      </c>
      <c r="E62" s="1">
        <v>319.62</v>
      </c>
      <c r="F62">
        <f>ABS($B$1-D62)</f>
        <v>51.25</v>
      </c>
      <c r="G62" s="28">
        <f t="shared" si="0"/>
        <v>0.62999999999999545</v>
      </c>
      <c r="H62" s="28">
        <f t="shared" si="1"/>
        <v>4.4999999999987494E-2</v>
      </c>
      <c r="I62" s="28">
        <f t="shared" si="2"/>
        <v>5.9999999999992802E-2</v>
      </c>
      <c r="J62" s="28">
        <f t="shared" si="3"/>
        <v>2.9583333333332483E-2</v>
      </c>
      <c r="K62" s="28">
        <f t="shared" si="4"/>
        <v>1.1166666666667406E-2</v>
      </c>
    </row>
    <row r="63" spans="3:11" x14ac:dyDescent="0.15">
      <c r="C63" s="30">
        <v>61</v>
      </c>
      <c r="D63" s="1">
        <v>1963</v>
      </c>
      <c r="E63" s="1">
        <v>318.99</v>
      </c>
      <c r="F63">
        <f>ABS($B$1-D63)</f>
        <v>52.25</v>
      </c>
      <c r="G63" s="28">
        <f t="shared" si="0"/>
        <v>0.54000000000002046</v>
      </c>
      <c r="H63" s="28">
        <f t="shared" si="1"/>
        <v>-0.13499999999999091</v>
      </c>
      <c r="I63" s="28">
        <f t="shared" si="2"/>
        <v>-5.8333333333337123E-2</v>
      </c>
      <c r="J63" s="28">
        <f t="shared" si="3"/>
        <v>-2.6250000000004547E-2</v>
      </c>
      <c r="K63" s="28">
        <f t="shared" si="4"/>
        <v>-1.338451927972901E-5</v>
      </c>
    </row>
    <row r="64" spans="3:11" x14ac:dyDescent="0.15">
      <c r="C64" s="30">
        <v>62</v>
      </c>
      <c r="D64" s="1">
        <v>1962</v>
      </c>
      <c r="E64" s="1">
        <v>318.45</v>
      </c>
      <c r="F64">
        <f>ABS($B$1-D64)</f>
        <v>53.25</v>
      </c>
      <c r="G64" s="28">
        <f t="shared" si="0"/>
        <v>0.81000000000000227</v>
      </c>
      <c r="H64" s="28">
        <f t="shared" si="1"/>
        <v>4.0000000000020464E-2</v>
      </c>
      <c r="I64" s="28">
        <f t="shared" si="2"/>
        <v>4.6666666666681067E-2</v>
      </c>
      <c r="J64" s="28">
        <f t="shared" si="3"/>
        <v>2.3811346103499406E-5</v>
      </c>
      <c r="K64" s="28">
        <f t="shared" si="4"/>
        <v>1.2149609066110914E-8</v>
      </c>
    </row>
    <row r="65" spans="3:11" x14ac:dyDescent="0.15">
      <c r="C65" s="30">
        <v>63</v>
      </c>
      <c r="D65" s="1">
        <v>1961</v>
      </c>
      <c r="E65" s="1">
        <v>317.64</v>
      </c>
      <c r="F65">
        <f>ABS($B$1-D65)</f>
        <v>54.25</v>
      </c>
      <c r="G65" s="28">
        <f t="shared" si="0"/>
        <v>0.72999999999996135</v>
      </c>
      <c r="H65" s="28">
        <f t="shared" si="1"/>
        <v>-0.10000000000002274</v>
      </c>
      <c r="I65" s="28">
        <f t="shared" si="2"/>
        <v>-5.1194388384767474E-5</v>
      </c>
      <c r="J65" s="28">
        <f t="shared" si="3"/>
        <v>-2.6186884210206808E-8</v>
      </c>
      <c r="K65" s="28">
        <f t="shared" si="4"/>
        <v>-1.3384038470526286E-11</v>
      </c>
    </row>
    <row r="66" spans="3:11" x14ac:dyDescent="0.15">
      <c r="C66" s="30">
        <v>64</v>
      </c>
      <c r="D66" s="1">
        <v>1960</v>
      </c>
      <c r="E66" s="1">
        <v>316.91000000000003</v>
      </c>
      <c r="F66">
        <f>ABS($B$1-D66)</f>
        <v>55.25</v>
      </c>
      <c r="G66" s="28">
        <f t="shared" si="0"/>
        <v>0.93000000000000682</v>
      </c>
      <c r="H66" s="28">
        <f t="shared" si="1"/>
        <v>3.9219562250628011E-4</v>
      </c>
      <c r="I66" s="28">
        <f t="shared" si="2"/>
        <v>1.5809155144807974E-7</v>
      </c>
      <c r="J66" s="28">
        <f t="shared" si="3"/>
        <v>5.9215230495240286E-11</v>
      </c>
      <c r="K66" s="28">
        <f t="shared" si="4"/>
        <v>1.9265591790575922E-14</v>
      </c>
    </row>
    <row r="67" spans="3:11" x14ac:dyDescent="0.15">
      <c r="C67" s="30">
        <v>65</v>
      </c>
      <c r="D67" s="1">
        <v>1959</v>
      </c>
      <c r="E67" s="1">
        <v>315.98</v>
      </c>
      <c r="F67">
        <f>ABS($B$1-D67)</f>
        <v>56.25</v>
      </c>
      <c r="G67" s="28">
        <f t="shared" ref="G67" si="6">(E68-E67)/(D68-D67)</f>
        <v>0.16129657988769783</v>
      </c>
      <c r="H67" s="28">
        <f t="shared" ref="H67" si="7">(G68-G67)/(D69-D67)</f>
        <v>8.2336181668043814E-5</v>
      </c>
      <c r="I67" s="28">
        <f t="shared" ref="I67" si="8">(H68-H67)/(D70-D67)</f>
        <v>4.2029699677408789E-8</v>
      </c>
      <c r="J67" s="28">
        <f t="shared" ref="J67" si="9">(I68-I67)/(D71-D67)</f>
        <v>2.1454670585711481E-11</v>
      </c>
      <c r="K67" s="28">
        <f t="shared" ref="K67" si="10">(J68-J67)/(D72-D67)</f>
        <v>1.0951848180557163E-14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7347-3FD9-234B-A48E-21F3FE2CDC0A}">
  <dimension ref="A1:S79"/>
  <sheetViews>
    <sheetView zoomScale="130" zoomScaleNormal="130" workbookViewId="0">
      <selection activeCell="E61" sqref="E61"/>
    </sheetView>
  </sheetViews>
  <sheetFormatPr baseColWidth="10" defaultRowHeight="13" x14ac:dyDescent="0.15"/>
  <cols>
    <col min="4" max="4" width="12.33203125" bestFit="1" customWidth="1"/>
    <col min="5" max="5" width="13.1640625" bestFit="1" customWidth="1"/>
    <col min="6" max="6" width="12.6640625" bestFit="1" customWidth="1"/>
    <col min="7" max="7" width="13.5" bestFit="1" customWidth="1"/>
    <col min="12" max="13" width="13.6640625" bestFit="1" customWidth="1"/>
  </cols>
  <sheetData>
    <row r="1" spans="1:7" ht="14" x14ac:dyDescent="0.15">
      <c r="A1" s="35" t="s">
        <v>38</v>
      </c>
      <c r="B1" s="35" t="s">
        <v>41</v>
      </c>
      <c r="C1" s="36" t="s">
        <v>57</v>
      </c>
      <c r="D1" s="23" t="s">
        <v>62</v>
      </c>
      <c r="E1" s="36" t="s">
        <v>63</v>
      </c>
      <c r="F1" s="23" t="s">
        <v>65</v>
      </c>
      <c r="G1" s="36" t="s">
        <v>64</v>
      </c>
    </row>
    <row r="2" spans="1:7" x14ac:dyDescent="0.15">
      <c r="A2">
        <v>0</v>
      </c>
      <c r="B2" s="1">
        <v>1959</v>
      </c>
      <c r="C2" s="34">
        <v>315.98</v>
      </c>
      <c r="D2" s="28"/>
      <c r="E2" s="28"/>
      <c r="G2" s="9"/>
    </row>
    <row r="3" spans="1:7" x14ac:dyDescent="0.15">
      <c r="A3">
        <f>A2+1</f>
        <v>1</v>
      </c>
      <c r="B3" s="1">
        <v>1960</v>
      </c>
      <c r="C3" s="1">
        <v>316.91000000000003</v>
      </c>
      <c r="D3" s="28">
        <f>(C4-C2)/(2*1)</f>
        <v>0.82999999999998408</v>
      </c>
      <c r="E3" s="28"/>
      <c r="F3" s="27">
        <f>(C4-2*C3+C2)</f>
        <v>-0.20000000000004547</v>
      </c>
      <c r="G3" s="27"/>
    </row>
    <row r="4" spans="1:7" x14ac:dyDescent="0.15">
      <c r="A4">
        <f t="shared" ref="A4:A67" si="0">A3+1</f>
        <v>2</v>
      </c>
      <c r="B4" s="1">
        <v>1961</v>
      </c>
      <c r="C4" s="1">
        <v>317.64</v>
      </c>
      <c r="D4" s="28">
        <f t="shared" ref="D4:D67" si="1">(C5-C3)/(2*1)</f>
        <v>0.76999999999998181</v>
      </c>
      <c r="E4" s="28">
        <f>(-C6+8*C5-8*C3+C2)/(12*1)</f>
        <v>0.77583333333329085</v>
      </c>
      <c r="F4" s="27">
        <f t="shared" ref="F4:F67" si="2">(C5-2*C4+C3)</f>
        <v>8.0000000000040927E-2</v>
      </c>
      <c r="G4" s="27">
        <f>(-C6+16*C5-30*C4+16*C3-C2)/12</f>
        <v>0.13250000000012582</v>
      </c>
    </row>
    <row r="5" spans="1:7" x14ac:dyDescent="0.15">
      <c r="A5">
        <f t="shared" si="0"/>
        <v>3</v>
      </c>
      <c r="B5" s="1">
        <v>1962</v>
      </c>
      <c r="C5" s="1">
        <v>318.45</v>
      </c>
      <c r="D5" s="28">
        <f t="shared" si="1"/>
        <v>0.67500000000001137</v>
      </c>
      <c r="E5" s="28">
        <f t="shared" ref="E5:E67" si="3">(-C7+8*C6-8*C4+C3)/(12*1)</f>
        <v>0.674166666666693</v>
      </c>
      <c r="F5" s="27">
        <f t="shared" si="2"/>
        <v>-0.26999999999998181</v>
      </c>
      <c r="G5" s="27">
        <f t="shared" ref="G5:G67" si="4">(-C7+16*C6-30*C5+16*C4-C3)/12</f>
        <v>-0.32916666666666572</v>
      </c>
    </row>
    <row r="6" spans="1:7" x14ac:dyDescent="0.15">
      <c r="A6">
        <f t="shared" si="0"/>
        <v>4</v>
      </c>
      <c r="B6" s="1">
        <v>1963</v>
      </c>
      <c r="C6" s="1">
        <v>318.99</v>
      </c>
      <c r="D6" s="28">
        <f t="shared" si="1"/>
        <v>0.58500000000000796</v>
      </c>
      <c r="E6" s="28">
        <f t="shared" si="3"/>
        <v>0.58000000000001251</v>
      </c>
      <c r="F6" s="27">
        <f t="shared" si="2"/>
        <v>8.9999999999974989E-2</v>
      </c>
      <c r="G6" s="27">
        <f t="shared" si="4"/>
        <v>0.14499999999993443</v>
      </c>
    </row>
    <row r="7" spans="1:7" x14ac:dyDescent="0.15">
      <c r="A7">
        <f t="shared" si="0"/>
        <v>5</v>
      </c>
      <c r="B7" s="1">
        <v>1964</v>
      </c>
      <c r="C7" s="1">
        <v>319.62</v>
      </c>
      <c r="D7" s="28">
        <f t="shared" si="1"/>
        <v>0.52500000000000568</v>
      </c>
      <c r="E7" s="28">
        <f t="shared" si="3"/>
        <v>0.45666666666668237</v>
      </c>
      <c r="F7" s="27">
        <f t="shared" si="2"/>
        <v>-0.20999999999997954</v>
      </c>
      <c r="G7" s="27">
        <f t="shared" si="4"/>
        <v>-0.32833333333331421</v>
      </c>
    </row>
    <row r="8" spans="1:7" x14ac:dyDescent="0.15">
      <c r="A8">
        <f t="shared" si="0"/>
        <v>6</v>
      </c>
      <c r="B8" s="1">
        <v>1965</v>
      </c>
      <c r="C8" s="1">
        <v>320.04000000000002</v>
      </c>
      <c r="D8" s="28">
        <f t="shared" si="1"/>
        <v>0.875</v>
      </c>
      <c r="E8" s="28">
        <f t="shared" si="3"/>
        <v>0.9008333333333477</v>
      </c>
      <c r="F8" s="27">
        <f t="shared" si="2"/>
        <v>0.90999999999996817</v>
      </c>
      <c r="G8" s="27">
        <f t="shared" si="4"/>
        <v>1.1224999999999266</v>
      </c>
    </row>
    <row r="9" spans="1:7" x14ac:dyDescent="0.15">
      <c r="A9">
        <f t="shared" si="0"/>
        <v>7</v>
      </c>
      <c r="B9" s="1">
        <v>1966</v>
      </c>
      <c r="C9" s="1">
        <v>321.37</v>
      </c>
      <c r="D9" s="28">
        <f t="shared" si="1"/>
        <v>1.0699999999999932</v>
      </c>
      <c r="E9" s="28">
        <f t="shared" si="3"/>
        <v>1.1408333333333094</v>
      </c>
      <c r="F9" s="27">
        <f t="shared" si="2"/>
        <v>-0.51999999999998181</v>
      </c>
      <c r="G9" s="27">
        <f t="shared" si="4"/>
        <v>-0.68750000000000944</v>
      </c>
    </row>
    <row r="10" spans="1:7" x14ac:dyDescent="0.15">
      <c r="A10">
        <f t="shared" si="0"/>
        <v>8</v>
      </c>
      <c r="B10" s="1">
        <v>1967</v>
      </c>
      <c r="C10" s="1">
        <v>322.18</v>
      </c>
      <c r="D10" s="28">
        <f t="shared" si="1"/>
        <v>0.84000000000000341</v>
      </c>
      <c r="E10" s="28">
        <f t="shared" si="3"/>
        <v>0.73833333333334872</v>
      </c>
      <c r="F10" s="27">
        <f t="shared" si="2"/>
        <v>6.0000000000002274E-2</v>
      </c>
      <c r="G10" s="27">
        <f t="shared" si="4"/>
        <v>5.5000000000058925E-2</v>
      </c>
    </row>
    <row r="11" spans="1:7" x14ac:dyDescent="0.15">
      <c r="A11">
        <f t="shared" si="0"/>
        <v>9</v>
      </c>
      <c r="B11" s="1">
        <v>1968</v>
      </c>
      <c r="C11" s="1">
        <v>323.05</v>
      </c>
      <c r="D11" s="28">
        <f t="shared" si="1"/>
        <v>1.2199999999999989</v>
      </c>
      <c r="E11" s="28">
        <f t="shared" si="3"/>
        <v>1.2675000000000125</v>
      </c>
      <c r="F11" s="27">
        <f t="shared" si="2"/>
        <v>0.69999999999998863</v>
      </c>
      <c r="G11" s="27">
        <f t="shared" si="4"/>
        <v>0.85416666666665719</v>
      </c>
    </row>
    <row r="12" spans="1:7" x14ac:dyDescent="0.15">
      <c r="A12">
        <f t="shared" si="0"/>
        <v>10</v>
      </c>
      <c r="B12" s="1">
        <v>1969</v>
      </c>
      <c r="C12" s="1">
        <v>324.62</v>
      </c>
      <c r="D12" s="28">
        <f t="shared" si="1"/>
        <v>1.3149999999999977</v>
      </c>
      <c r="E12" s="28">
        <f t="shared" si="3"/>
        <v>1.4083333333333172</v>
      </c>
      <c r="F12" s="27">
        <f t="shared" si="2"/>
        <v>-0.50999999999999091</v>
      </c>
      <c r="G12" s="27">
        <f t="shared" si="4"/>
        <v>-0.61833333333331575</v>
      </c>
    </row>
    <row r="13" spans="1:7" x14ac:dyDescent="0.15">
      <c r="A13">
        <f t="shared" si="0"/>
        <v>11</v>
      </c>
      <c r="B13" s="1">
        <v>1970</v>
      </c>
      <c r="C13" s="1">
        <v>325.68</v>
      </c>
      <c r="D13" s="28">
        <f t="shared" si="1"/>
        <v>0.84999999999999432</v>
      </c>
      <c r="E13" s="28">
        <f t="shared" si="3"/>
        <v>0.76583333333332371</v>
      </c>
      <c r="F13" s="27">
        <f t="shared" si="2"/>
        <v>-0.42000000000001592</v>
      </c>
      <c r="G13" s="27">
        <f t="shared" si="4"/>
        <v>-0.48916666666664338</v>
      </c>
    </row>
    <row r="14" spans="1:7" x14ac:dyDescent="0.15">
      <c r="A14">
        <f t="shared" si="0"/>
        <v>12</v>
      </c>
      <c r="B14" s="1">
        <v>1971</v>
      </c>
      <c r="C14" s="1">
        <v>326.32</v>
      </c>
      <c r="D14" s="28">
        <f t="shared" si="1"/>
        <v>0.88999999999998636</v>
      </c>
      <c r="E14" s="28">
        <f t="shared" si="3"/>
        <v>0.76499999999999579</v>
      </c>
      <c r="F14" s="27">
        <f t="shared" si="2"/>
        <v>0.5</v>
      </c>
      <c r="G14" s="27">
        <f t="shared" si="4"/>
        <v>0.52833333333326016</v>
      </c>
    </row>
    <row r="15" spans="1:7" x14ac:dyDescent="0.15">
      <c r="A15">
        <f t="shared" si="0"/>
        <v>13</v>
      </c>
      <c r="B15" s="1">
        <v>1972</v>
      </c>
      <c r="C15" s="1">
        <v>327.45999999999998</v>
      </c>
      <c r="D15" s="28">
        <f t="shared" si="1"/>
        <v>1.6800000000000068</v>
      </c>
      <c r="E15" s="28">
        <f t="shared" si="3"/>
        <v>1.8641666666666719</v>
      </c>
      <c r="F15" s="27">
        <f t="shared" si="2"/>
        <v>1.0800000000000409</v>
      </c>
      <c r="G15" s="27">
        <f t="shared" si="4"/>
        <v>1.3608333333334268</v>
      </c>
    </row>
    <row r="16" spans="1:7" x14ac:dyDescent="0.15">
      <c r="A16">
        <f t="shared" si="0"/>
        <v>14</v>
      </c>
      <c r="B16" s="1">
        <v>1973</v>
      </c>
      <c r="C16" s="1">
        <v>329.68</v>
      </c>
      <c r="D16" s="28">
        <f t="shared" si="1"/>
        <v>1.3650000000000091</v>
      </c>
      <c r="E16" s="28">
        <f t="shared" si="3"/>
        <v>1.4191666666666691</v>
      </c>
      <c r="F16" s="27">
        <f t="shared" si="2"/>
        <v>-1.7100000000000364</v>
      </c>
      <c r="G16" s="27">
        <f t="shared" si="4"/>
        <v>-2.120833333333342</v>
      </c>
    </row>
    <row r="17" spans="1:7" x14ac:dyDescent="0.15">
      <c r="A17">
        <f t="shared" si="0"/>
        <v>15</v>
      </c>
      <c r="B17" s="1">
        <v>1974</v>
      </c>
      <c r="C17" s="1">
        <v>330.19</v>
      </c>
      <c r="D17" s="28">
        <f t="shared" si="1"/>
        <v>0.72499999999999432</v>
      </c>
      <c r="E17" s="28">
        <f t="shared" si="3"/>
        <v>0.58583333333334531</v>
      </c>
      <c r="F17" s="27">
        <f t="shared" si="2"/>
        <v>0.43000000000000682</v>
      </c>
      <c r="G17" s="27">
        <f t="shared" si="4"/>
        <v>0.64749999999996533</v>
      </c>
    </row>
    <row r="18" spans="1:7" x14ac:dyDescent="0.15">
      <c r="A18">
        <f t="shared" si="0"/>
        <v>16</v>
      </c>
      <c r="B18" s="1">
        <v>1975</v>
      </c>
      <c r="C18" s="1">
        <v>331.13</v>
      </c>
      <c r="D18" s="28">
        <f t="shared" si="1"/>
        <v>0.91999999999998749</v>
      </c>
      <c r="E18" s="28">
        <f t="shared" si="3"/>
        <v>0.8799999999999718</v>
      </c>
      <c r="F18" s="27">
        <f t="shared" si="2"/>
        <v>-4.0000000000020464E-2</v>
      </c>
      <c r="G18" s="27">
        <f t="shared" si="4"/>
        <v>-0.15833333333335511</v>
      </c>
    </row>
    <row r="19" spans="1:7" x14ac:dyDescent="0.15">
      <c r="A19">
        <f t="shared" si="0"/>
        <v>17</v>
      </c>
      <c r="B19" s="1">
        <v>1976</v>
      </c>
      <c r="C19" s="1">
        <v>332.03</v>
      </c>
      <c r="D19" s="28">
        <f t="shared" si="1"/>
        <v>1.3549999999999898</v>
      </c>
      <c r="E19" s="28">
        <f t="shared" si="3"/>
        <v>1.371666666666665</v>
      </c>
      <c r="F19" s="27">
        <f t="shared" si="2"/>
        <v>0.91000000000002501</v>
      </c>
      <c r="G19" s="27">
        <f t="shared" si="4"/>
        <v>1.0850000000000033</v>
      </c>
    </row>
    <row r="20" spans="1:7" x14ac:dyDescent="0.15">
      <c r="A20">
        <f t="shared" si="0"/>
        <v>18</v>
      </c>
      <c r="B20" s="1">
        <v>1977</v>
      </c>
      <c r="C20" s="1">
        <v>333.84</v>
      </c>
      <c r="D20" s="28">
        <f t="shared" si="1"/>
        <v>1.6900000000000261</v>
      </c>
      <c r="E20" s="28">
        <f t="shared" si="3"/>
        <v>1.7775000000000223</v>
      </c>
      <c r="F20" s="27">
        <f t="shared" si="2"/>
        <v>-0.23999999999995225</v>
      </c>
      <c r="G20" s="27">
        <f t="shared" si="4"/>
        <v>-0.34416666666659051</v>
      </c>
    </row>
    <row r="21" spans="1:7" x14ac:dyDescent="0.15">
      <c r="A21">
        <f t="shared" si="0"/>
        <v>19</v>
      </c>
      <c r="B21" s="1">
        <v>1978</v>
      </c>
      <c r="C21" s="1">
        <v>335.41</v>
      </c>
      <c r="D21" s="28">
        <f t="shared" si="1"/>
        <v>1.5</v>
      </c>
      <c r="E21" s="28">
        <f t="shared" si="3"/>
        <v>1.439166666666684</v>
      </c>
      <c r="F21" s="27">
        <f t="shared" si="2"/>
        <v>-0.14000000000010004</v>
      </c>
      <c r="G21" s="27">
        <f t="shared" si="4"/>
        <v>-0.18416666666684023</v>
      </c>
    </row>
    <row r="22" spans="1:7" x14ac:dyDescent="0.15">
      <c r="A22">
        <f t="shared" si="0"/>
        <v>20</v>
      </c>
      <c r="B22" s="1">
        <v>1979</v>
      </c>
      <c r="C22" s="1">
        <v>336.84</v>
      </c>
      <c r="D22" s="28">
        <f t="shared" si="1"/>
        <v>1.6749999999999829</v>
      </c>
      <c r="E22" s="28">
        <f t="shared" si="3"/>
        <v>1.7099999999999842</v>
      </c>
      <c r="F22" s="27">
        <f t="shared" si="2"/>
        <v>0.49000000000006594</v>
      </c>
      <c r="G22" s="27">
        <f t="shared" si="4"/>
        <v>0.63000000000012335</v>
      </c>
    </row>
    <row r="23" spans="1:7" x14ac:dyDescent="0.15">
      <c r="A23">
        <f t="shared" si="0"/>
        <v>21</v>
      </c>
      <c r="B23" s="1">
        <v>1980</v>
      </c>
      <c r="C23" s="1">
        <v>338.76</v>
      </c>
      <c r="D23" s="28">
        <f t="shared" si="1"/>
        <v>1.6400000000000148</v>
      </c>
      <c r="E23" s="28">
        <f t="shared" si="3"/>
        <v>1.6808333333333536</v>
      </c>
      <c r="F23" s="27">
        <f t="shared" si="2"/>
        <v>-0.56000000000000227</v>
      </c>
      <c r="G23" s="27">
        <f t="shared" si="4"/>
        <v>-0.69416666666659899</v>
      </c>
    </row>
    <row r="24" spans="1:7" x14ac:dyDescent="0.15">
      <c r="A24">
        <f t="shared" si="0"/>
        <v>22</v>
      </c>
      <c r="B24" s="1">
        <v>1981</v>
      </c>
      <c r="C24" s="1">
        <v>340.12</v>
      </c>
      <c r="D24" s="28">
        <f t="shared" si="1"/>
        <v>1.3600000000000136</v>
      </c>
      <c r="E24" s="28">
        <f t="shared" si="3"/>
        <v>1.2875000000000085</v>
      </c>
      <c r="F24" s="27">
        <f t="shared" si="2"/>
        <v>0</v>
      </c>
      <c r="G24" s="27">
        <f t="shared" si="4"/>
        <v>2.0833333333347543E-2</v>
      </c>
    </row>
    <row r="25" spans="1:7" x14ac:dyDescent="0.15">
      <c r="A25">
        <f t="shared" si="0"/>
        <v>23</v>
      </c>
      <c r="B25" s="1">
        <v>1982</v>
      </c>
      <c r="C25" s="1">
        <v>341.48</v>
      </c>
      <c r="D25" s="28">
        <f t="shared" si="1"/>
        <v>1.5149999999999864</v>
      </c>
      <c r="E25" s="28">
        <f t="shared" si="3"/>
        <v>1.5108333333333235</v>
      </c>
      <c r="F25" s="27">
        <f t="shared" si="2"/>
        <v>0.30999999999994543</v>
      </c>
      <c r="G25" s="27">
        <f t="shared" si="4"/>
        <v>0.35749999999986432</v>
      </c>
    </row>
    <row r="26" spans="1:7" x14ac:dyDescent="0.15">
      <c r="A26">
        <f t="shared" si="0"/>
        <v>24</v>
      </c>
      <c r="B26" s="1">
        <v>1983</v>
      </c>
      <c r="C26" s="1">
        <v>343.15</v>
      </c>
      <c r="D26" s="28">
        <f t="shared" si="1"/>
        <v>1.6949999999999932</v>
      </c>
      <c r="E26" s="28">
        <f t="shared" si="3"/>
        <v>1.7408333333333321</v>
      </c>
      <c r="F26" s="27">
        <f t="shared" si="2"/>
        <v>5.0000000000068212E-2</v>
      </c>
      <c r="G26" s="27">
        <f t="shared" si="4"/>
        <v>5.2499999999999623E-2</v>
      </c>
    </row>
    <row r="27" spans="1:7" x14ac:dyDescent="0.15">
      <c r="A27">
        <f t="shared" si="0"/>
        <v>25</v>
      </c>
      <c r="B27" s="1">
        <v>1984</v>
      </c>
      <c r="C27" s="1">
        <v>344.87</v>
      </c>
      <c r="D27" s="28">
        <f t="shared" si="1"/>
        <v>1.6000000000000227</v>
      </c>
      <c r="E27" s="28">
        <f t="shared" si="3"/>
        <v>1.6225000000000211</v>
      </c>
      <c r="F27" s="27">
        <f t="shared" si="2"/>
        <v>-0.24000000000000909</v>
      </c>
      <c r="G27" s="27">
        <f t="shared" si="4"/>
        <v>-0.26583333333333786</v>
      </c>
    </row>
    <row r="28" spans="1:7" x14ac:dyDescent="0.15">
      <c r="A28">
        <f t="shared" si="0"/>
        <v>26</v>
      </c>
      <c r="B28" s="1">
        <v>1985</v>
      </c>
      <c r="C28" s="1">
        <v>346.35</v>
      </c>
      <c r="D28" s="28">
        <f t="shared" si="1"/>
        <v>1.3700000000000045</v>
      </c>
      <c r="E28" s="28">
        <f t="shared" si="3"/>
        <v>1.3133333333333421</v>
      </c>
      <c r="F28" s="27">
        <f t="shared" si="2"/>
        <v>-0.22000000000002728</v>
      </c>
      <c r="G28" s="27">
        <f t="shared" si="4"/>
        <v>-0.27333333333334053</v>
      </c>
    </row>
    <row r="29" spans="1:7" x14ac:dyDescent="0.15">
      <c r="A29">
        <f t="shared" si="0"/>
        <v>27</v>
      </c>
      <c r="B29" s="1">
        <v>1986</v>
      </c>
      <c r="C29" s="1">
        <v>347.61</v>
      </c>
      <c r="D29" s="28">
        <f t="shared" si="1"/>
        <v>1.4799999999999898</v>
      </c>
      <c r="E29" s="28">
        <f t="shared" si="3"/>
        <v>1.4049999999999823</v>
      </c>
      <c r="F29" s="27">
        <f t="shared" si="2"/>
        <v>0.43999999999999773</v>
      </c>
      <c r="G29" s="27">
        <f t="shared" si="4"/>
        <v>0.47499999999997539</v>
      </c>
    </row>
    <row r="30" spans="1:7" x14ac:dyDescent="0.15">
      <c r="A30">
        <f t="shared" si="0"/>
        <v>28</v>
      </c>
      <c r="B30" s="1">
        <v>1987</v>
      </c>
      <c r="C30" s="1">
        <v>349.31</v>
      </c>
      <c r="D30" s="28">
        <f t="shared" si="1"/>
        <v>2.039999999999992</v>
      </c>
      <c r="E30" s="28">
        <f t="shared" si="3"/>
        <v>2.1491666666666731</v>
      </c>
      <c r="F30" s="27">
        <f t="shared" si="2"/>
        <v>0.68000000000000682</v>
      </c>
      <c r="G30" s="27">
        <f t="shared" si="4"/>
        <v>0.82916666666675576</v>
      </c>
    </row>
    <row r="31" spans="1:7" x14ac:dyDescent="0.15">
      <c r="A31">
        <f t="shared" si="0"/>
        <v>29</v>
      </c>
      <c r="B31" s="1">
        <v>1988</v>
      </c>
      <c r="C31" s="1">
        <v>351.69</v>
      </c>
      <c r="D31" s="28">
        <f t="shared" si="1"/>
        <v>1.9449999999999932</v>
      </c>
      <c r="E31" s="28">
        <f t="shared" si="3"/>
        <v>2.0233333333333405</v>
      </c>
      <c r="F31" s="27">
        <f t="shared" si="2"/>
        <v>-0.87000000000000455</v>
      </c>
      <c r="G31" s="27">
        <f t="shared" si="4"/>
        <v>-1.0500000000000587</v>
      </c>
    </row>
    <row r="32" spans="1:7" x14ac:dyDescent="0.15">
      <c r="A32">
        <f t="shared" si="0"/>
        <v>30</v>
      </c>
      <c r="B32" s="1">
        <v>1989</v>
      </c>
      <c r="C32" s="1">
        <v>353.2</v>
      </c>
      <c r="D32" s="28">
        <f t="shared" si="1"/>
        <v>1.3799999999999955</v>
      </c>
      <c r="E32" s="28">
        <f t="shared" si="3"/>
        <v>1.3075000000000092</v>
      </c>
      <c r="F32" s="27">
        <f t="shared" si="2"/>
        <v>-0.25999999999999091</v>
      </c>
      <c r="G32" s="27">
        <f t="shared" si="4"/>
        <v>-0.23083333333333655</v>
      </c>
    </row>
    <row r="33" spans="1:7" x14ac:dyDescent="0.15">
      <c r="A33">
        <f t="shared" si="0"/>
        <v>31</v>
      </c>
      <c r="B33" s="1">
        <v>1990</v>
      </c>
      <c r="C33" s="1">
        <v>354.45</v>
      </c>
      <c r="D33" s="28">
        <f t="shared" si="1"/>
        <v>1.25</v>
      </c>
      <c r="E33" s="28">
        <f t="shared" si="3"/>
        <v>1.2625000000000028</v>
      </c>
      <c r="F33" s="27">
        <f t="shared" si="2"/>
        <v>0</v>
      </c>
      <c r="G33" s="27">
        <f t="shared" si="4"/>
        <v>5.5833333333306236E-2</v>
      </c>
    </row>
    <row r="34" spans="1:7" x14ac:dyDescent="0.15">
      <c r="A34">
        <f t="shared" si="0"/>
        <v>32</v>
      </c>
      <c r="B34" s="1">
        <v>1991</v>
      </c>
      <c r="C34" s="1">
        <v>355.7</v>
      </c>
      <c r="D34" s="28">
        <f t="shared" si="1"/>
        <v>1.0450000000000159</v>
      </c>
      <c r="E34" s="28">
        <f t="shared" si="3"/>
        <v>1.0591666666666839</v>
      </c>
      <c r="F34" s="27">
        <f t="shared" si="2"/>
        <v>-0.40999999999996817</v>
      </c>
      <c r="G34" s="27">
        <f t="shared" si="4"/>
        <v>-0.46416666666665662</v>
      </c>
    </row>
    <row r="35" spans="1:7" x14ac:dyDescent="0.15">
      <c r="A35">
        <f t="shared" si="0"/>
        <v>33</v>
      </c>
      <c r="B35" s="1">
        <v>1992</v>
      </c>
      <c r="C35" s="1">
        <v>356.54</v>
      </c>
      <c r="D35" s="28">
        <f t="shared" si="1"/>
        <v>0.75499999999999545</v>
      </c>
      <c r="E35" s="28">
        <f t="shared" si="3"/>
        <v>0.63083333333332325</v>
      </c>
      <c r="F35" s="27">
        <f t="shared" si="2"/>
        <v>-0.17000000000007276</v>
      </c>
      <c r="G35" s="27">
        <f t="shared" si="4"/>
        <v>-0.25416666666677185</v>
      </c>
    </row>
    <row r="36" spans="1:7" x14ac:dyDescent="0.15">
      <c r="A36">
        <f t="shared" si="0"/>
        <v>34</v>
      </c>
      <c r="B36" s="1">
        <v>1993</v>
      </c>
      <c r="C36" s="1">
        <v>357.21</v>
      </c>
      <c r="D36" s="28">
        <f t="shared" si="1"/>
        <v>1.2099999999999795</v>
      </c>
      <c r="E36" s="28">
        <f t="shared" si="3"/>
        <v>1.174166666666655</v>
      </c>
      <c r="F36" s="27">
        <f t="shared" si="2"/>
        <v>1.0800000000000409</v>
      </c>
      <c r="G36" s="27">
        <f t="shared" si="4"/>
        <v>1.2525000000000404</v>
      </c>
    </row>
    <row r="37" spans="1:7" x14ac:dyDescent="0.15">
      <c r="A37">
        <f t="shared" si="0"/>
        <v>35</v>
      </c>
      <c r="B37" s="1">
        <v>1994</v>
      </c>
      <c r="C37" s="1">
        <v>358.96</v>
      </c>
      <c r="D37" s="28">
        <f t="shared" si="1"/>
        <v>1.8800000000000239</v>
      </c>
      <c r="E37" s="28">
        <f t="shared" si="3"/>
        <v>1.9900000000000517</v>
      </c>
      <c r="F37" s="27">
        <f t="shared" si="2"/>
        <v>0.26000000000004775</v>
      </c>
      <c r="G37" s="27">
        <f t="shared" si="4"/>
        <v>0.23333333333341955</v>
      </c>
    </row>
    <row r="38" spans="1:7" x14ac:dyDescent="0.15">
      <c r="A38">
        <f t="shared" si="0"/>
        <v>36</v>
      </c>
      <c r="B38" s="1">
        <v>1995</v>
      </c>
      <c r="C38" s="1">
        <v>360.97</v>
      </c>
      <c r="D38" s="28">
        <f t="shared" si="1"/>
        <v>1.8900000000000148</v>
      </c>
      <c r="E38" s="28">
        <f t="shared" si="3"/>
        <v>1.9641666666666755</v>
      </c>
      <c r="F38" s="27">
        <f t="shared" si="2"/>
        <v>-0.24000000000006594</v>
      </c>
      <c r="G38" s="27">
        <f t="shared" si="4"/>
        <v>-0.24916666666671952</v>
      </c>
    </row>
    <row r="39" spans="1:7" x14ac:dyDescent="0.15">
      <c r="A39">
        <f t="shared" si="0"/>
        <v>37</v>
      </c>
      <c r="B39" s="1">
        <v>1996</v>
      </c>
      <c r="C39" s="1">
        <v>362.74</v>
      </c>
      <c r="D39" s="28">
        <f t="shared" si="1"/>
        <v>1.4549999999999841</v>
      </c>
      <c r="E39" s="28">
        <f t="shared" si="3"/>
        <v>1.2833333333332984</v>
      </c>
      <c r="F39" s="27">
        <f t="shared" si="2"/>
        <v>-0.62999999999999545</v>
      </c>
      <c r="G39" s="27">
        <f t="shared" si="4"/>
        <v>-0.86666666666670744</v>
      </c>
    </row>
    <row r="40" spans="1:7" x14ac:dyDescent="0.15">
      <c r="A40">
        <f t="shared" si="0"/>
        <v>38</v>
      </c>
      <c r="B40" s="1">
        <v>1997</v>
      </c>
      <c r="C40" s="1">
        <v>363.88</v>
      </c>
      <c r="D40" s="28">
        <f t="shared" si="1"/>
        <v>2.0499999999999829</v>
      </c>
      <c r="E40" s="28">
        <f t="shared" si="3"/>
        <v>2.1024999999999827</v>
      </c>
      <c r="F40" s="27">
        <f t="shared" si="2"/>
        <v>1.8199999999999932</v>
      </c>
      <c r="G40" s="27">
        <f t="shared" si="4"/>
        <v>2.280833333333343</v>
      </c>
    </row>
    <row r="41" spans="1:7" x14ac:dyDescent="0.15">
      <c r="A41">
        <f t="shared" si="0"/>
        <v>39</v>
      </c>
      <c r="B41" s="1">
        <v>1998</v>
      </c>
      <c r="C41" s="1">
        <v>366.84</v>
      </c>
      <c r="D41" s="28">
        <f t="shared" si="1"/>
        <v>2.3300000000000125</v>
      </c>
      <c r="E41" s="28">
        <f t="shared" si="3"/>
        <v>2.5258333333333476</v>
      </c>
      <c r="F41" s="27">
        <f t="shared" si="2"/>
        <v>-1.2599999999999341</v>
      </c>
      <c r="G41" s="27">
        <f t="shared" si="4"/>
        <v>-1.5774999999998915</v>
      </c>
    </row>
    <row r="42" spans="1:7" x14ac:dyDescent="0.15">
      <c r="A42">
        <f t="shared" si="0"/>
        <v>40</v>
      </c>
      <c r="B42" s="1">
        <v>1999</v>
      </c>
      <c r="C42" s="1">
        <v>368.54</v>
      </c>
      <c r="D42" s="28">
        <f t="shared" si="1"/>
        <v>1.4350000000000023</v>
      </c>
      <c r="E42" s="28">
        <f t="shared" si="3"/>
        <v>1.2933333333333223</v>
      </c>
      <c r="F42" s="27">
        <f t="shared" si="2"/>
        <v>-0.5300000000000864</v>
      </c>
      <c r="G42" s="27">
        <f t="shared" si="4"/>
        <v>-0.55000000000009663</v>
      </c>
    </row>
    <row r="43" spans="1:7" x14ac:dyDescent="0.15">
      <c r="A43">
        <f t="shared" si="0"/>
        <v>41</v>
      </c>
      <c r="B43" s="1">
        <v>2000</v>
      </c>
      <c r="C43" s="1">
        <v>369.71</v>
      </c>
      <c r="D43" s="28">
        <f t="shared" si="1"/>
        <v>1.3899999999999864</v>
      </c>
      <c r="E43" s="28">
        <f t="shared" si="3"/>
        <v>1.3024999999999949</v>
      </c>
      <c r="F43" s="27">
        <f t="shared" si="2"/>
        <v>0.44000000000005457</v>
      </c>
      <c r="G43" s="27">
        <f t="shared" si="4"/>
        <v>0.5141666666667627</v>
      </c>
    </row>
    <row r="44" spans="1:7" x14ac:dyDescent="0.15">
      <c r="A44">
        <f t="shared" si="0"/>
        <v>42</v>
      </c>
      <c r="B44" s="1">
        <v>2001</v>
      </c>
      <c r="C44" s="1">
        <v>371.32</v>
      </c>
      <c r="D44" s="28">
        <f t="shared" si="1"/>
        <v>1.8700000000000045</v>
      </c>
      <c r="E44" s="28">
        <f t="shared" si="3"/>
        <v>1.8733333333333395</v>
      </c>
      <c r="F44" s="27">
        <f t="shared" si="2"/>
        <v>0.51999999999998181</v>
      </c>
      <c r="G44" s="27">
        <f t="shared" si="4"/>
        <v>0.53666666666655283</v>
      </c>
    </row>
    <row r="45" spans="1:7" x14ac:dyDescent="0.15">
      <c r="A45">
        <f t="shared" si="0"/>
        <v>43</v>
      </c>
      <c r="B45" s="1">
        <v>2002</v>
      </c>
      <c r="C45" s="1">
        <v>373.45</v>
      </c>
      <c r="D45" s="28">
        <f t="shared" si="1"/>
        <v>2.3300000000000125</v>
      </c>
      <c r="E45" s="28">
        <f t="shared" si="3"/>
        <v>2.4408333333333636</v>
      </c>
      <c r="F45" s="27">
        <f t="shared" si="2"/>
        <v>0.40000000000003411</v>
      </c>
      <c r="G45" s="27">
        <f t="shared" si="4"/>
        <v>0.49083333333336537</v>
      </c>
    </row>
    <row r="46" spans="1:7" x14ac:dyDescent="0.15">
      <c r="A46">
        <f t="shared" si="0"/>
        <v>44</v>
      </c>
      <c r="B46" s="1">
        <v>2003</v>
      </c>
      <c r="C46" s="1">
        <v>375.98</v>
      </c>
      <c r="D46" s="28">
        <f t="shared" si="1"/>
        <v>2.125</v>
      </c>
      <c r="E46" s="28">
        <f t="shared" si="3"/>
        <v>2.1116666666666646</v>
      </c>
      <c r="F46" s="27">
        <f t="shared" si="2"/>
        <v>-0.81000000000005912</v>
      </c>
      <c r="G46" s="27">
        <f t="shared" si="4"/>
        <v>-1.0250000000001904</v>
      </c>
    </row>
    <row r="47" spans="1:7" x14ac:dyDescent="0.15">
      <c r="A47">
        <f t="shared" si="0"/>
        <v>45</v>
      </c>
      <c r="B47" s="1">
        <v>2004</v>
      </c>
      <c r="C47" s="1">
        <v>377.7</v>
      </c>
      <c r="D47" s="28">
        <f t="shared" si="1"/>
        <v>2</v>
      </c>
      <c r="E47" s="28">
        <f t="shared" si="3"/>
        <v>1.9466666666666537</v>
      </c>
      <c r="F47" s="27">
        <f t="shared" si="2"/>
        <v>0.56000000000005912</v>
      </c>
      <c r="G47" s="27">
        <f t="shared" si="4"/>
        <v>0.73500000000003729</v>
      </c>
    </row>
    <row r="48" spans="1:7" x14ac:dyDescent="0.15">
      <c r="A48">
        <f t="shared" si="0"/>
        <v>46</v>
      </c>
      <c r="B48" s="1">
        <v>2005</v>
      </c>
      <c r="C48" s="1">
        <v>379.98</v>
      </c>
      <c r="D48" s="28">
        <f t="shared" si="1"/>
        <v>2.1949999999999932</v>
      </c>
      <c r="E48" s="28">
        <f t="shared" si="3"/>
        <v>2.2566666666666606</v>
      </c>
      <c r="F48" s="27">
        <f t="shared" si="2"/>
        <v>-0.17000000000007276</v>
      </c>
      <c r="G48" s="27">
        <f t="shared" si="4"/>
        <v>-0.23000000000013188</v>
      </c>
    </row>
    <row r="49" spans="1:7" x14ac:dyDescent="0.15">
      <c r="A49">
        <f t="shared" si="0"/>
        <v>47</v>
      </c>
      <c r="B49" s="1">
        <v>2006</v>
      </c>
      <c r="C49" s="1">
        <v>382.09</v>
      </c>
      <c r="D49" s="28">
        <f t="shared" si="1"/>
        <v>2.0199999999999818</v>
      </c>
      <c r="E49" s="28">
        <f t="shared" si="3"/>
        <v>2.015833333333314</v>
      </c>
      <c r="F49" s="27">
        <f t="shared" si="2"/>
        <v>-0.17999999999994998</v>
      </c>
      <c r="G49" s="27">
        <f t="shared" si="4"/>
        <v>-0.18583333333323537</v>
      </c>
    </row>
    <row r="50" spans="1:7" x14ac:dyDescent="0.15">
      <c r="A50">
        <f t="shared" si="0"/>
        <v>48</v>
      </c>
      <c r="B50" s="1">
        <v>2007</v>
      </c>
      <c r="C50" s="1">
        <v>384.02</v>
      </c>
      <c r="D50" s="28">
        <f t="shared" si="1"/>
        <v>1.8700000000000045</v>
      </c>
      <c r="E50" s="28">
        <f t="shared" si="3"/>
        <v>1.8550000000000182</v>
      </c>
      <c r="F50" s="27">
        <f t="shared" si="2"/>
        <v>-0.12000000000000455</v>
      </c>
      <c r="G50" s="27">
        <f t="shared" si="4"/>
        <v>-0.1249999999999621</v>
      </c>
    </row>
    <row r="51" spans="1:7" x14ac:dyDescent="0.15">
      <c r="A51">
        <f t="shared" si="0"/>
        <v>49</v>
      </c>
      <c r="B51" s="1">
        <v>2008</v>
      </c>
      <c r="C51" s="1">
        <v>385.83</v>
      </c>
      <c r="D51" s="28">
        <f t="shared" si="1"/>
        <v>1.8100000000000023</v>
      </c>
      <c r="E51" s="28">
        <f t="shared" si="3"/>
        <v>1.7458333333333418</v>
      </c>
      <c r="F51" s="27">
        <f t="shared" si="2"/>
        <v>0</v>
      </c>
      <c r="G51" s="27">
        <f t="shared" si="4"/>
        <v>-4.4166666666707023E-2</v>
      </c>
    </row>
    <row r="52" spans="1:7" x14ac:dyDescent="0.15">
      <c r="A52">
        <f t="shared" si="0"/>
        <v>50</v>
      </c>
      <c r="B52" s="1">
        <v>2009</v>
      </c>
      <c r="C52" s="1">
        <v>387.64</v>
      </c>
      <c r="D52" s="28">
        <f t="shared" si="1"/>
        <v>2.1350000000000193</v>
      </c>
      <c r="E52" s="28">
        <f t="shared" si="3"/>
        <v>2.1941666666666984</v>
      </c>
      <c r="F52" s="27">
        <f t="shared" si="2"/>
        <v>0.65000000000003411</v>
      </c>
      <c r="G52" s="27">
        <f t="shared" si="4"/>
        <v>0.81750000000007128</v>
      </c>
    </row>
    <row r="53" spans="1:7" x14ac:dyDescent="0.15">
      <c r="A53">
        <f t="shared" si="0"/>
        <v>51</v>
      </c>
      <c r="B53" s="1">
        <v>2010</v>
      </c>
      <c r="C53" s="1">
        <v>390.1</v>
      </c>
      <c r="D53" s="28">
        <f t="shared" si="1"/>
        <v>2.1050000000000182</v>
      </c>
      <c r="E53" s="28">
        <f t="shared" si="3"/>
        <v>2.1208333333333607</v>
      </c>
      <c r="F53" s="27">
        <f t="shared" si="2"/>
        <v>-0.71000000000003638</v>
      </c>
      <c r="G53" s="27">
        <f t="shared" si="4"/>
        <v>-0.92083333333335327</v>
      </c>
    </row>
    <row r="54" spans="1:7" x14ac:dyDescent="0.15">
      <c r="A54">
        <f t="shared" si="0"/>
        <v>52</v>
      </c>
      <c r="B54" s="1">
        <v>2011</v>
      </c>
      <c r="C54" s="1">
        <v>391.85</v>
      </c>
      <c r="D54" s="28">
        <f t="shared" si="1"/>
        <v>1.9799999999999898</v>
      </c>
      <c r="E54" s="28">
        <f t="shared" si="3"/>
        <v>1.8816666666666322</v>
      </c>
      <c r="F54" s="27">
        <f t="shared" si="2"/>
        <v>0.45999999999997954</v>
      </c>
      <c r="G54" s="27">
        <f t="shared" si="4"/>
        <v>0.55666666666671938</v>
      </c>
    </row>
    <row r="55" spans="1:7" x14ac:dyDescent="0.15">
      <c r="A55">
        <f t="shared" si="0"/>
        <v>53</v>
      </c>
      <c r="B55" s="1">
        <v>2012</v>
      </c>
      <c r="C55" s="1">
        <v>394.06</v>
      </c>
      <c r="D55" s="28">
        <f t="shared" si="1"/>
        <v>2.4449999999999932</v>
      </c>
      <c r="E55" s="28">
        <f t="shared" si="3"/>
        <v>2.534166666666664</v>
      </c>
      <c r="F55" s="27">
        <f t="shared" si="2"/>
        <v>0.47000000000002728</v>
      </c>
      <c r="G55" s="27">
        <f t="shared" si="4"/>
        <v>0.56083333333340113</v>
      </c>
    </row>
    <row r="56" spans="1:7" x14ac:dyDescent="0.15">
      <c r="A56">
        <f t="shared" si="0"/>
        <v>54</v>
      </c>
      <c r="B56" s="1">
        <v>2013</v>
      </c>
      <c r="C56" s="1">
        <v>396.74</v>
      </c>
      <c r="D56" s="28">
        <f t="shared" si="1"/>
        <v>2.375</v>
      </c>
      <c r="E56" s="28">
        <f t="shared" si="3"/>
        <v>2.4033333333333551</v>
      </c>
      <c r="F56" s="27">
        <f t="shared" si="2"/>
        <v>-0.61000000000001364</v>
      </c>
      <c r="G56" s="27">
        <f t="shared" si="4"/>
        <v>-0.76166666666674132</v>
      </c>
    </row>
    <row r="57" spans="1:7" x14ac:dyDescent="0.15">
      <c r="A57">
        <f t="shared" si="0"/>
        <v>55</v>
      </c>
      <c r="B57" s="1">
        <v>2014</v>
      </c>
      <c r="C57" s="1">
        <v>398.81</v>
      </c>
      <c r="D57" s="28">
        <f t="shared" si="1"/>
        <v>2.1349999999999909</v>
      </c>
      <c r="E57" s="28">
        <f t="shared" si="3"/>
        <v>1.9841666666666669</v>
      </c>
      <c r="F57" s="27">
        <f t="shared" si="2"/>
        <v>0.12999999999999545</v>
      </c>
      <c r="G57" s="27">
        <f t="shared" si="4"/>
        <v>0.10250000000007257</v>
      </c>
    </row>
    <row r="58" spans="1:7" x14ac:dyDescent="0.15">
      <c r="A58">
        <f t="shared" si="0"/>
        <v>56</v>
      </c>
      <c r="B58" s="1">
        <v>2015</v>
      </c>
      <c r="C58" s="1">
        <v>401.01</v>
      </c>
      <c r="D58" s="28">
        <f t="shared" si="1"/>
        <v>2.8000000000000114</v>
      </c>
      <c r="E58" s="28">
        <f t="shared" si="3"/>
        <v>2.898333333333369</v>
      </c>
      <c r="F58" s="27">
        <f t="shared" si="2"/>
        <v>1.2000000000000455</v>
      </c>
      <c r="G58" s="27">
        <f t="shared" si="4"/>
        <v>1.4766666666667447</v>
      </c>
    </row>
    <row r="59" spans="1:7" x14ac:dyDescent="0.15">
      <c r="A59">
        <f t="shared" si="0"/>
        <v>57</v>
      </c>
      <c r="B59" s="1">
        <v>2016</v>
      </c>
      <c r="C59" s="1">
        <v>404.41</v>
      </c>
      <c r="D59" s="28">
        <f t="shared" si="1"/>
        <v>2.875</v>
      </c>
      <c r="E59" s="28">
        <f t="shared" si="3"/>
        <v>3.007499999999979</v>
      </c>
      <c r="F59" s="27">
        <f t="shared" si="2"/>
        <v>-1.0500000000000682</v>
      </c>
      <c r="G59" s="27">
        <f t="shared" si="4"/>
        <v>-1.2925000000001365</v>
      </c>
    </row>
    <row r="60" spans="1:7" x14ac:dyDescent="0.15">
      <c r="A60">
        <f t="shared" si="0"/>
        <v>58</v>
      </c>
      <c r="B60" s="1">
        <v>2017</v>
      </c>
      <c r="C60" s="1">
        <v>406.76</v>
      </c>
      <c r="D60" s="28">
        <f t="shared" si="1"/>
        <v>2.1550000000000011</v>
      </c>
      <c r="E60" s="28">
        <f t="shared" si="3"/>
        <v>1.9866666666666599</v>
      </c>
      <c r="F60" s="27">
        <f t="shared" si="2"/>
        <v>-0.38999999999992951</v>
      </c>
      <c r="G60" s="27">
        <f t="shared" si="4"/>
        <v>-0.44833333333317188</v>
      </c>
    </row>
    <row r="61" spans="1:7" x14ac:dyDescent="0.15">
      <c r="A61">
        <f t="shared" si="0"/>
        <v>59</v>
      </c>
      <c r="B61" s="1">
        <v>2018</v>
      </c>
      <c r="C61" s="1">
        <v>408.72</v>
      </c>
      <c r="D61" s="28">
        <f t="shared" si="1"/>
        <v>2.4449999999999932</v>
      </c>
      <c r="E61" s="28">
        <f t="shared" si="3"/>
        <v>2.4433333333333231</v>
      </c>
      <c r="F61" s="27">
        <f t="shared" si="2"/>
        <v>0.9699999999999136</v>
      </c>
      <c r="G61" s="27">
        <f t="shared" si="4"/>
        <v>1.1949999999999221</v>
      </c>
    </row>
    <row r="62" spans="1:7" x14ac:dyDescent="0.15">
      <c r="A62">
        <f t="shared" si="0"/>
        <v>60</v>
      </c>
      <c r="B62" s="1">
        <v>2019</v>
      </c>
      <c r="C62" s="1">
        <v>411.65</v>
      </c>
      <c r="D62" s="28">
        <f t="shared" si="1"/>
        <v>2.7449999999999761</v>
      </c>
      <c r="E62" s="28">
        <f t="shared" si="3"/>
        <v>2.855833333333313</v>
      </c>
      <c r="F62" s="27">
        <f t="shared" si="2"/>
        <v>-0.3699999999999477</v>
      </c>
      <c r="G62" s="27">
        <f t="shared" si="4"/>
        <v>-0.482499999999978</v>
      </c>
    </row>
    <row r="63" spans="1:7" x14ac:dyDescent="0.15">
      <c r="A63">
        <f t="shared" si="0"/>
        <v>61</v>
      </c>
      <c r="B63" s="1">
        <v>2020</v>
      </c>
      <c r="C63" s="1">
        <v>414.21</v>
      </c>
      <c r="D63" s="28">
        <f t="shared" si="1"/>
        <v>2.3800000000000239</v>
      </c>
      <c r="E63" s="28">
        <f t="shared" si="3"/>
        <v>2.3558333333333508</v>
      </c>
      <c r="F63" s="27">
        <f t="shared" si="2"/>
        <v>-0.3599999999999568</v>
      </c>
      <c r="G63" s="27">
        <f t="shared" si="4"/>
        <v>-0.38249999999991741</v>
      </c>
    </row>
    <row r="64" spans="1:7" x14ac:dyDescent="0.15">
      <c r="A64">
        <f t="shared" si="0"/>
        <v>62</v>
      </c>
      <c r="B64" s="1">
        <v>2021</v>
      </c>
      <c r="C64" s="1">
        <v>416.41</v>
      </c>
      <c r="D64" s="28">
        <f t="shared" si="1"/>
        <v>2.1599999999999966</v>
      </c>
      <c r="E64" s="28">
        <f t="shared" si="3"/>
        <v>2.0941666666666663</v>
      </c>
      <c r="F64" s="27">
        <f t="shared" si="2"/>
        <v>-8.0000000000097771E-2</v>
      </c>
      <c r="G64" s="27">
        <f t="shared" si="4"/>
        <v>-9.9166666666813327E-2</v>
      </c>
    </row>
    <row r="65" spans="1:19" x14ac:dyDescent="0.15">
      <c r="A65">
        <f t="shared" si="0"/>
        <v>63</v>
      </c>
      <c r="B65" s="1">
        <v>2022</v>
      </c>
      <c r="C65" s="1">
        <v>418.53</v>
      </c>
      <c r="D65" s="28">
        <f t="shared" si="1"/>
        <v>2.3349999999999795</v>
      </c>
      <c r="E65" s="28">
        <f t="shared" si="3"/>
        <v>2.2466666666666271</v>
      </c>
      <c r="F65" s="27">
        <f t="shared" si="2"/>
        <v>0.43000000000006366</v>
      </c>
      <c r="G65" s="27">
        <f t="shared" si="4"/>
        <v>0.42666666666673808</v>
      </c>
    </row>
    <row r="66" spans="1:19" x14ac:dyDescent="0.15">
      <c r="A66">
        <f t="shared" si="0"/>
        <v>64</v>
      </c>
      <c r="B66" s="1">
        <v>2023</v>
      </c>
      <c r="C66" s="1">
        <v>421.08</v>
      </c>
      <c r="D66" s="28">
        <f t="shared" si="1"/>
        <v>3.0400000000000205</v>
      </c>
      <c r="E66" s="28"/>
      <c r="F66" s="27">
        <f t="shared" si="2"/>
        <v>0.98000000000001819</v>
      </c>
      <c r="G66" s="27"/>
    </row>
    <row r="67" spans="1:19" x14ac:dyDescent="0.15">
      <c r="A67">
        <f t="shared" si="0"/>
        <v>65</v>
      </c>
      <c r="B67">
        <v>2024</v>
      </c>
      <c r="C67">
        <v>424.61</v>
      </c>
      <c r="D67" s="28"/>
      <c r="E67" s="28"/>
      <c r="F67" s="7"/>
      <c r="G67" s="7"/>
    </row>
    <row r="68" spans="1:19" x14ac:dyDescent="0.15">
      <c r="F68" s="7"/>
      <c r="G68" s="7"/>
    </row>
    <row r="73" spans="1:19" x14ac:dyDescent="0.15">
      <c r="J73" s="9" t="s">
        <v>58</v>
      </c>
      <c r="M73" s="9" t="s">
        <v>59</v>
      </c>
      <c r="P73" s="9" t="s">
        <v>66</v>
      </c>
      <c r="S73" s="9" t="s">
        <v>72</v>
      </c>
    </row>
    <row r="74" spans="1:19" x14ac:dyDescent="0.15">
      <c r="J74" t="s">
        <v>60</v>
      </c>
      <c r="K74" s="27">
        <f>AVERAGE(F3:F66)</f>
        <v>4.0625000000000355E-2</v>
      </c>
      <c r="M74" t="s">
        <v>60</v>
      </c>
      <c r="N74">
        <f>_xlfn.STDEV.S(F3:F66)</f>
        <v>0.63374892379609571</v>
      </c>
      <c r="P74" t="s">
        <v>67</v>
      </c>
      <c r="Q74">
        <f>COUNT(F3:F66)</f>
        <v>64</v>
      </c>
      <c r="S74">
        <v>0.05</v>
      </c>
    </row>
    <row r="75" spans="1:19" x14ac:dyDescent="0.15">
      <c r="J75" t="s">
        <v>61</v>
      </c>
      <c r="K75" s="27">
        <f>AVERAGE(G4:G65)</f>
        <v>2.8991935483870801E-2</v>
      </c>
      <c r="M75" t="s">
        <v>61</v>
      </c>
      <c r="N75">
        <f>_xlfn.STDEV.S(G4:G65)</f>
        <v>0.77777315610434117</v>
      </c>
      <c r="P75" t="s">
        <v>68</v>
      </c>
      <c r="Q75">
        <f>COUNT(G4:G65)</f>
        <v>62</v>
      </c>
    </row>
    <row r="77" spans="1:19" x14ac:dyDescent="0.15">
      <c r="J77" s="9" t="s">
        <v>69</v>
      </c>
      <c r="M77" s="9" t="s">
        <v>70</v>
      </c>
      <c r="P77" s="9" t="s">
        <v>71</v>
      </c>
    </row>
    <row r="78" spans="1:19" x14ac:dyDescent="0.15">
      <c r="J78" t="s">
        <v>60</v>
      </c>
      <c r="K78">
        <f>_xlfn.CONFIDENCE.NORM(S74,N74,Q74)</f>
        <v>0.15526563323517081</v>
      </c>
      <c r="M78" t="s">
        <v>60</v>
      </c>
      <c r="N78" s="27">
        <f>K74-K78</f>
        <v>-0.11464063323517046</v>
      </c>
      <c r="P78" t="s">
        <v>60</v>
      </c>
      <c r="Q78" s="27">
        <f>K74+K78</f>
        <v>0.19589063323517117</v>
      </c>
    </row>
    <row r="79" spans="1:19" x14ac:dyDescent="0.15">
      <c r="J79" t="s">
        <v>61</v>
      </c>
      <c r="K79">
        <f>_xlfn.CONFIDENCE.NORM(S74,N75,Q75)</f>
        <v>0.19359993011155971</v>
      </c>
      <c r="M79" t="s">
        <v>61</v>
      </c>
      <c r="N79" s="27">
        <f>K75-K79</f>
        <v>-0.16460799462768891</v>
      </c>
      <c r="P79" t="s">
        <v>61</v>
      </c>
      <c r="Q79" s="27">
        <f>K75+K79</f>
        <v>0.22259186559543051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Question 1</vt:lpstr>
      <vt:lpstr>Question 2</vt:lpstr>
      <vt:lpstr>Question 3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Juan Estevez</cp:lastModifiedBy>
  <cp:revision>1</cp:revision>
  <dcterms:created xsi:type="dcterms:W3CDTF">2023-12-05T11:19:52Z</dcterms:created>
  <dcterms:modified xsi:type="dcterms:W3CDTF">2025-12-20T02:39:34Z</dcterms:modified>
  <dc:language>en-CA</dc:language>
</cp:coreProperties>
</file>